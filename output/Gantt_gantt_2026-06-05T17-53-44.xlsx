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<sst xmlns="http://schemas.openxmlformats.org/spreadsheetml/2006/main" count="733" uniqueCount="67">
  <si>
    <t>Marzo de 2026</t>
  </si>
  <si>
    <t>Nº</t>
  </si>
  <si>
    <t>Tarea</t>
  </si>
  <si>
    <t>Responsable</t>
  </si>
  <si>
    <t>F. Inicio</t>
  </si>
  <si>
    <t>F. Fin</t>
  </si>
  <si>
    <t>Días</t>
  </si>
  <si>
    <t>%</t>
  </si>
  <si>
    <t>1D</t>
  </si>
  <si>
    <t>2L</t>
  </si>
  <si>
    <t>3M</t>
  </si>
  <si>
    <t>4X</t>
  </si>
  <si>
    <t>5J</t>
  </si>
  <si>
    <t>6V</t>
  </si>
  <si>
    <t>7S</t>
  </si>
  <si>
    <t>8D</t>
  </si>
  <si>
    <t>9L</t>
  </si>
  <si>
    <t>10M</t>
  </si>
  <si>
    <t>11X</t>
  </si>
  <si>
    <t>12J</t>
  </si>
  <si>
    <t>13V</t>
  </si>
  <si>
    <t>14S</t>
  </si>
  <si>
    <t>15D</t>
  </si>
  <si>
    <t>16L</t>
  </si>
  <si>
    <t>17M</t>
  </si>
  <si>
    <t>18X</t>
  </si>
  <si>
    <t>19J</t>
  </si>
  <si>
    <t>20V</t>
  </si>
  <si>
    <t>21S</t>
  </si>
  <si>
    <t>22D</t>
  </si>
  <si>
    <t>23L</t>
  </si>
  <si>
    <t>24M</t>
  </si>
  <si>
    <t>Análisis funcional y diseño técnico</t>
  </si>
  <si>
    <t>Equipo</t>
  </si>
  <si>
    <t/>
  </si>
  <si>
    <t xml:space="preserve">  ├─ Sesiones de consultoría con interlocutor del cliente</t>
  </si>
  <si>
    <t xml:space="preserve">  ├─ Documento de especificaciones funcionales y reglas de reparto</t>
  </si>
  <si>
    <t>Configuración estructura documental Therefore™</t>
  </si>
  <si>
    <t xml:space="preserve">  ├─ Expediente principal Notificaciones (Dispatching Room) - 15 campos</t>
  </si>
  <si>
    <t xml:space="preserve">  ├─ 3 categorías destino dependientes (Laboral, SSGG, RRHH) - 0.19d c/u</t>
  </si>
  <si>
    <t xml:space="preserve">  ├─ Categorías Documentación del Servicio y Auditorías WF</t>
  </si>
  <si>
    <t xml:space="preserve">  ├─ 6 tablas maestras (Estados, Tipos, Usuarios, Equipos, Sociedades, Organismos) - 0.1d c/u</t>
  </si>
  <si>
    <t>Desarrollo de flujos de trabajo</t>
  </si>
  <si>
    <t xml:space="preserve">  ├─ WF Asignación de Equipo de Tramitación (automático)</t>
  </si>
  <si>
    <t xml:space="preserve">  ├─ WF Tramitación Dispatching Room con scripting de reparto</t>
  </si>
  <si>
    <t xml:space="preserve">  ├─ WF Tramitación en Categoría Destino (común a 3 equipos)</t>
  </si>
  <si>
    <t>Integración Content Connector y carga inicial</t>
  </si>
  <si>
    <t xml:space="preserve">  ├─ Configuración Content Connector para ingesta de notificaciones</t>
  </si>
  <si>
    <t xml:space="preserve">  ├─ Perfiles de indexación para carga de datos maestros iniciales</t>
  </si>
  <si>
    <t>Configuración de seguridad y multisociedad</t>
  </si>
  <si>
    <t xml:space="preserve">  ├─ Grupos de seguridad por equipo y sociedad (filtrado por CIF)</t>
  </si>
  <si>
    <t xml:space="preserve">  ├─ Asignación de roles a 7 usuarios y permisos por categoría</t>
  </si>
  <si>
    <t>Pruebas y puesta en producción</t>
  </si>
  <si>
    <t xml:space="preserve">  ├─ Pruebas integradas de reparto y workflows (≈20% del desarrollo)</t>
  </si>
  <si>
    <t xml:space="preserve">  ├─ Validación con usuarios clave y ajustes finales</t>
  </si>
  <si>
    <t>Formación y soporte go-live</t>
  </si>
  <si>
    <t xml:space="preserve">  ├─ Sesión única de formación a usuarios clave (4h)</t>
  </si>
  <si>
    <t xml:space="preserve">  ├─ Acompañamiento en arranque productivo</t>
  </si>
  <si>
    <t>Contingencia (12%)</t>
  </si>
  <si>
    <t xml:space="preserve">  ├─ Margen para imprevistos en integración con orígenes (DEHÚ, AEAT, Juzgados)</t>
  </si>
  <si>
    <t>Leyenda</t>
  </si>
  <si>
    <t>0%</t>
  </si>
  <si>
    <t>1 – 25%</t>
  </si>
  <si>
    <t>26 – 50%</t>
  </si>
  <si>
    <t>51 – 75%</t>
  </si>
  <si>
    <t>76 – 100%</t>
  </si>
  <si>
    <t>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</si>
</sst>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b/>
      <color rgb="FFFFFFFF"/>
      <sz val="9"/>
    </font>
    <font>
      <b/>
    </font>
    <font>
      <sz val="9"/>
    </font>
    <font>
      <i/>
      <color rgb="FF666666"/>
      <sz val="9"/>
    </font>
    <font>
      <color rgb="FF333333"/>
      <sz val="10"/>
    </font>
    <font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E9A"/>
      </patternFill>
    </fill>
    <fill>
      <patternFill patternType="solid">
        <fgColor rgb="FFE8E8E8"/>
      </patternFill>
    </fill>
    <fill>
      <patternFill patternType="solid">
        <fgColor rgb="FFD6E4F0"/>
      </patternFill>
    </fill>
    <fill>
      <patternFill patternType="solid">
        <fgColor rgb="FFCEEAF9"/>
      </patternFill>
    </fill>
    <fill>
      <patternFill patternType="solid">
        <fgColor rgb="FF7BBFE8"/>
      </patternFill>
    </fill>
    <fill>
      <patternFill patternType="solid">
        <fgColor rgb="FF2E8DD4"/>
      </patternFill>
    </fill>
    <fill>
      <patternFill patternType="solid">
        <fgColor rgb="FF0C3D6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5" customWidth="1"/>
    <col min="3" max="3" width="15" customWidth="1"/>
    <col min="4" max="5" width="12" customWidth="1"/>
    <col min="6" max="6" width="8" customWidth="1"/>
    <col min="7" max="7" width="6" customWidth="1"/>
    <col min="8" max="31" width="3.5" customWidth="1"/>
  </cols>
  <sheetData>
    <row r="1" ht="20" customHeight="1" spans="1:3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8" customHeight="1" spans="1:3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</row>
    <row r="3" ht="16" customHeight="1" spans="1:31" x14ac:dyDescent="0.25">
      <c r="A3" s="5">
        <v>1</v>
      </c>
      <c r="B3" s="6" t="s">
        <v>32</v>
      </c>
      <c r="C3" s="7" t="s">
        <v>33</v>
      </c>
      <c r="D3" s="8">
        <v>46081.95833333333</v>
      </c>
      <c r="E3" s="8">
        <f>=IFERROR(WORKDAY(D3,ROUNDUP(F3,0)-1),D3)</f>
        <v>46081.95833333333</v>
      </c>
      <c r="F3" s="9">
        <v>1.5</v>
      </c>
      <c r="G3" s="10">
        <v>0</v>
      </c>
      <c r="H3" s="11" t="s">
        <v>34</v>
      </c>
      <c r="I3" s="12" t="s">
        <v>34</v>
      </c>
      <c r="J3" s="12" t="s">
        <v>34</v>
      </c>
      <c r="K3" s="12" t="s">
        <v>34</v>
      </c>
      <c r="L3" s="12" t="s">
        <v>34</v>
      </c>
      <c r="M3" s="12" t="s">
        <v>34</v>
      </c>
      <c r="N3" s="11" t="s">
        <v>34</v>
      </c>
      <c r="O3" s="11" t="s">
        <v>34</v>
      </c>
      <c r="P3" s="12" t="s">
        <v>34</v>
      </c>
      <c r="Q3" s="12" t="s">
        <v>34</v>
      </c>
      <c r="R3" s="12" t="s">
        <v>34</v>
      </c>
      <c r="S3" s="12" t="s">
        <v>34</v>
      </c>
      <c r="T3" s="12" t="s">
        <v>34</v>
      </c>
      <c r="U3" s="11" t="s">
        <v>34</v>
      </c>
      <c r="V3" s="11" t="s">
        <v>34</v>
      </c>
      <c r="W3" s="12" t="s">
        <v>34</v>
      </c>
      <c r="X3" s="12" t="s">
        <v>34</v>
      </c>
      <c r="Y3" s="12" t="s">
        <v>34</v>
      </c>
      <c r="Z3" s="12" t="s">
        <v>34</v>
      </c>
      <c r="AA3" s="12" t="s">
        <v>34</v>
      </c>
      <c r="AB3" s="11" t="s">
        <v>34</v>
      </c>
      <c r="AC3" s="11" t="s">
        <v>34</v>
      </c>
      <c r="AD3" s="12" t="s">
        <v>34</v>
      </c>
      <c r="AE3" s="12" t="s">
        <v>34</v>
      </c>
    </row>
    <row r="4" ht="16" customHeight="1" spans="1:31" x14ac:dyDescent="0.25">
      <c r="A4" s="5" t="s">
        <v>34</v>
      </c>
      <c r="B4" s="13" t="s">
        <v>35</v>
      </c>
      <c r="C4" s="7" t="s">
        <v>33</v>
      </c>
      <c r="D4" s="8">
        <v>46081.95833333333</v>
      </c>
      <c r="E4" s="8">
        <f>=IFERROR(WORKDAY(D4,ROUNDUP(F4,0)-1),D4)</f>
        <v>46081.95833333333</v>
      </c>
      <c r="F4" s="9">
        <v>0.75</v>
      </c>
      <c r="G4" s="10">
        <v>0</v>
      </c>
      <c r="H4" s="11" t="s">
        <v>34</v>
      </c>
      <c r="I4" s="12" t="s">
        <v>34</v>
      </c>
      <c r="J4" s="12" t="s">
        <v>34</v>
      </c>
      <c r="K4" s="12" t="s">
        <v>34</v>
      </c>
      <c r="L4" s="12" t="s">
        <v>34</v>
      </c>
      <c r="M4" s="12" t="s">
        <v>34</v>
      </c>
      <c r="N4" s="11" t="s">
        <v>34</v>
      </c>
      <c r="O4" s="11" t="s">
        <v>34</v>
      </c>
      <c r="P4" s="12" t="s">
        <v>34</v>
      </c>
      <c r="Q4" s="12" t="s">
        <v>34</v>
      </c>
      <c r="R4" s="12" t="s">
        <v>34</v>
      </c>
      <c r="S4" s="12" t="s">
        <v>34</v>
      </c>
      <c r="T4" s="12" t="s">
        <v>34</v>
      </c>
      <c r="U4" s="11" t="s">
        <v>34</v>
      </c>
      <c r="V4" s="11" t="s">
        <v>34</v>
      </c>
      <c r="W4" s="12" t="s">
        <v>34</v>
      </c>
      <c r="X4" s="12" t="s">
        <v>34</v>
      </c>
      <c r="Y4" s="12" t="s">
        <v>34</v>
      </c>
      <c r="Z4" s="12" t="s">
        <v>34</v>
      </c>
      <c r="AA4" s="12" t="s">
        <v>34</v>
      </c>
      <c r="AB4" s="11" t="s">
        <v>34</v>
      </c>
      <c r="AC4" s="11" t="s">
        <v>34</v>
      </c>
      <c r="AD4" s="12" t="s">
        <v>34</v>
      </c>
      <c r="AE4" s="12" t="s">
        <v>34</v>
      </c>
    </row>
    <row r="5" ht="16" customHeight="1" spans="1:31" x14ac:dyDescent="0.25">
      <c r="A5" s="5" t="s">
        <v>34</v>
      </c>
      <c r="B5" s="13" t="s">
        <v>36</v>
      </c>
      <c r="C5" s="7" t="s">
        <v>33</v>
      </c>
      <c r="D5" s="8">
        <v>46082.95833333333</v>
      </c>
      <c r="E5" s="8">
        <f>=IFERROR(WORKDAY(D5,ROUNDUP(F5,0)-1),D5)</f>
        <v>46082.95833333333</v>
      </c>
      <c r="F5" s="9">
        <v>0.75</v>
      </c>
      <c r="G5" s="10">
        <v>0</v>
      </c>
      <c r="H5" s="11" t="s">
        <v>34</v>
      </c>
      <c r="I5" s="12" t="s">
        <v>34</v>
      </c>
      <c r="J5" s="12" t="s">
        <v>34</v>
      </c>
      <c r="K5" s="12" t="s">
        <v>34</v>
      </c>
      <c r="L5" s="12" t="s">
        <v>34</v>
      </c>
      <c r="M5" s="12" t="s">
        <v>34</v>
      </c>
      <c r="N5" s="11" t="s">
        <v>34</v>
      </c>
      <c r="O5" s="11" t="s">
        <v>34</v>
      </c>
      <c r="P5" s="12" t="s">
        <v>34</v>
      </c>
      <c r="Q5" s="12" t="s">
        <v>34</v>
      </c>
      <c r="R5" s="12" t="s">
        <v>34</v>
      </c>
      <c r="S5" s="12" t="s">
        <v>34</v>
      </c>
      <c r="T5" s="12" t="s">
        <v>34</v>
      </c>
      <c r="U5" s="11" t="s">
        <v>34</v>
      </c>
      <c r="V5" s="11" t="s">
        <v>34</v>
      </c>
      <c r="W5" s="12" t="s">
        <v>34</v>
      </c>
      <c r="X5" s="12" t="s">
        <v>34</v>
      </c>
      <c r="Y5" s="12" t="s">
        <v>34</v>
      </c>
      <c r="Z5" s="12" t="s">
        <v>34</v>
      </c>
      <c r="AA5" s="12" t="s">
        <v>34</v>
      </c>
      <c r="AB5" s="11" t="s">
        <v>34</v>
      </c>
      <c r="AC5" s="11" t="s">
        <v>34</v>
      </c>
      <c r="AD5" s="12" t="s">
        <v>34</v>
      </c>
      <c r="AE5" s="12" t="s">
        <v>34</v>
      </c>
    </row>
    <row r="6" ht="16" customHeight="1" spans="1:31" x14ac:dyDescent="0.25">
      <c r="A6" s="5">
        <v>4</v>
      </c>
      <c r="B6" s="6" t="s">
        <v>37</v>
      </c>
      <c r="C6" s="7" t="s">
        <v>33</v>
      </c>
      <c r="D6" s="8">
        <v>46084.95833333333</v>
      </c>
      <c r="E6" s="8">
        <f>=IFERROR(WORKDAY(D6,ROUNDUP(F6,0)-1),D6)</f>
        <v>46084.95833333333</v>
      </c>
      <c r="F6" s="9">
        <v>1.75</v>
      </c>
      <c r="G6" s="10">
        <v>0</v>
      </c>
      <c r="H6" s="11" t="s">
        <v>34</v>
      </c>
      <c r="I6" s="12" t="s">
        <v>34</v>
      </c>
      <c r="J6" s="12" t="s">
        <v>34</v>
      </c>
      <c r="K6" s="12" t="s">
        <v>34</v>
      </c>
      <c r="L6" s="12" t="s">
        <v>34</v>
      </c>
      <c r="M6" s="12" t="s">
        <v>34</v>
      </c>
      <c r="N6" s="11" t="s">
        <v>34</v>
      </c>
      <c r="O6" s="11" t="s">
        <v>34</v>
      </c>
      <c r="P6" s="12" t="s">
        <v>34</v>
      </c>
      <c r="Q6" s="12" t="s">
        <v>34</v>
      </c>
      <c r="R6" s="12" t="s">
        <v>34</v>
      </c>
      <c r="S6" s="12" t="s">
        <v>34</v>
      </c>
      <c r="T6" s="12" t="s">
        <v>34</v>
      </c>
      <c r="U6" s="11" t="s">
        <v>34</v>
      </c>
      <c r="V6" s="11" t="s">
        <v>34</v>
      </c>
      <c r="W6" s="12" t="s">
        <v>34</v>
      </c>
      <c r="X6" s="12" t="s">
        <v>34</v>
      </c>
      <c r="Y6" s="12" t="s">
        <v>34</v>
      </c>
      <c r="Z6" s="12" t="s">
        <v>34</v>
      </c>
      <c r="AA6" s="12" t="s">
        <v>34</v>
      </c>
      <c r="AB6" s="11" t="s">
        <v>34</v>
      </c>
      <c r="AC6" s="11" t="s">
        <v>34</v>
      </c>
      <c r="AD6" s="12" t="s">
        <v>34</v>
      </c>
      <c r="AE6" s="12" t="s">
        <v>34</v>
      </c>
    </row>
    <row r="7" ht="16" customHeight="1" spans="1:31" x14ac:dyDescent="0.25">
      <c r="A7" s="5" t="s">
        <v>34</v>
      </c>
      <c r="B7" s="13" t="s">
        <v>38</v>
      </c>
      <c r="C7" s="7" t="s">
        <v>33</v>
      </c>
      <c r="D7" s="8">
        <v>46084.95833333333</v>
      </c>
      <c r="E7" s="8">
        <f>=IFERROR(WORKDAY(D7,ROUNDUP(F7,0)-1),D7)</f>
        <v>46084.95833333333</v>
      </c>
      <c r="F7" s="9">
        <v>0.25</v>
      </c>
      <c r="G7" s="10">
        <v>0</v>
      </c>
      <c r="H7" s="11" t="s">
        <v>34</v>
      </c>
      <c r="I7" s="12" t="s">
        <v>34</v>
      </c>
      <c r="J7" s="12" t="s">
        <v>34</v>
      </c>
      <c r="K7" s="12" t="s">
        <v>34</v>
      </c>
      <c r="L7" s="12" t="s">
        <v>34</v>
      </c>
      <c r="M7" s="12" t="s">
        <v>34</v>
      </c>
      <c r="N7" s="11" t="s">
        <v>34</v>
      </c>
      <c r="O7" s="11" t="s">
        <v>34</v>
      </c>
      <c r="P7" s="12" t="s">
        <v>34</v>
      </c>
      <c r="Q7" s="12" t="s">
        <v>34</v>
      </c>
      <c r="R7" s="12" t="s">
        <v>34</v>
      </c>
      <c r="S7" s="12" t="s">
        <v>34</v>
      </c>
      <c r="T7" s="12" t="s">
        <v>34</v>
      </c>
      <c r="U7" s="11" t="s">
        <v>34</v>
      </c>
      <c r="V7" s="11" t="s">
        <v>34</v>
      </c>
      <c r="W7" s="12" t="s">
        <v>34</v>
      </c>
      <c r="X7" s="12" t="s">
        <v>34</v>
      </c>
      <c r="Y7" s="12" t="s">
        <v>34</v>
      </c>
      <c r="Z7" s="12" t="s">
        <v>34</v>
      </c>
      <c r="AA7" s="12" t="s">
        <v>34</v>
      </c>
      <c r="AB7" s="11" t="s">
        <v>34</v>
      </c>
      <c r="AC7" s="11" t="s">
        <v>34</v>
      </c>
      <c r="AD7" s="12" t="s">
        <v>34</v>
      </c>
      <c r="AE7" s="12" t="s">
        <v>34</v>
      </c>
    </row>
    <row r="8" ht="16" customHeight="1" spans="1:31" x14ac:dyDescent="0.25">
      <c r="A8" s="5" t="s">
        <v>34</v>
      </c>
      <c r="B8" s="13" t="s">
        <v>39</v>
      </c>
      <c r="C8" s="7" t="s">
        <v>33</v>
      </c>
      <c r="D8" s="8">
        <v>46085.95833333333</v>
      </c>
      <c r="E8" s="8">
        <f>=IFERROR(WORKDAY(D8,ROUNDUP(F8,0)-1),D8)</f>
        <v>46085.95833333333</v>
      </c>
      <c r="F8" s="9">
        <v>0.57</v>
      </c>
      <c r="G8" s="10">
        <v>0</v>
      </c>
      <c r="H8" s="11" t="s">
        <v>34</v>
      </c>
      <c r="I8" s="12" t="s">
        <v>34</v>
      </c>
      <c r="J8" s="12" t="s">
        <v>34</v>
      </c>
      <c r="K8" s="12" t="s">
        <v>34</v>
      </c>
      <c r="L8" s="12" t="s">
        <v>34</v>
      </c>
      <c r="M8" s="12" t="s">
        <v>34</v>
      </c>
      <c r="N8" s="11" t="s">
        <v>34</v>
      </c>
      <c r="O8" s="11" t="s">
        <v>34</v>
      </c>
      <c r="P8" s="12" t="s">
        <v>34</v>
      </c>
      <c r="Q8" s="12" t="s">
        <v>34</v>
      </c>
      <c r="R8" s="12" t="s">
        <v>34</v>
      </c>
      <c r="S8" s="12" t="s">
        <v>34</v>
      </c>
      <c r="T8" s="12" t="s">
        <v>34</v>
      </c>
      <c r="U8" s="11" t="s">
        <v>34</v>
      </c>
      <c r="V8" s="11" t="s">
        <v>34</v>
      </c>
      <c r="W8" s="12" t="s">
        <v>34</v>
      </c>
      <c r="X8" s="12" t="s">
        <v>34</v>
      </c>
      <c r="Y8" s="12" t="s">
        <v>34</v>
      </c>
      <c r="Z8" s="12" t="s">
        <v>34</v>
      </c>
      <c r="AA8" s="12" t="s">
        <v>34</v>
      </c>
      <c r="AB8" s="11" t="s">
        <v>34</v>
      </c>
      <c r="AC8" s="11" t="s">
        <v>34</v>
      </c>
      <c r="AD8" s="12" t="s">
        <v>34</v>
      </c>
      <c r="AE8" s="12" t="s">
        <v>34</v>
      </c>
    </row>
    <row r="9" ht="16" customHeight="1" spans="1:31" x14ac:dyDescent="0.25">
      <c r="A9" s="5" t="s">
        <v>34</v>
      </c>
      <c r="B9" s="13" t="s">
        <v>40</v>
      </c>
      <c r="C9" s="7" t="s">
        <v>33</v>
      </c>
      <c r="D9" s="8">
        <v>46085.95833333333</v>
      </c>
      <c r="E9" s="8">
        <f>=IFERROR(WORKDAY(D9,ROUNDUP(F9,0)-1),D9)</f>
        <v>46085.95833333333</v>
      </c>
      <c r="F9" s="9">
        <v>0.37</v>
      </c>
      <c r="G9" s="10">
        <v>0</v>
      </c>
      <c r="H9" s="11" t="s">
        <v>34</v>
      </c>
      <c r="I9" s="12" t="s">
        <v>34</v>
      </c>
      <c r="J9" s="12" t="s">
        <v>34</v>
      </c>
      <c r="K9" s="12" t="s">
        <v>34</v>
      </c>
      <c r="L9" s="12" t="s">
        <v>34</v>
      </c>
      <c r="M9" s="12" t="s">
        <v>34</v>
      </c>
      <c r="N9" s="11" t="s">
        <v>34</v>
      </c>
      <c r="O9" s="11" t="s">
        <v>34</v>
      </c>
      <c r="P9" s="12" t="s">
        <v>34</v>
      </c>
      <c r="Q9" s="12" t="s">
        <v>34</v>
      </c>
      <c r="R9" s="12" t="s">
        <v>34</v>
      </c>
      <c r="S9" s="12" t="s">
        <v>34</v>
      </c>
      <c r="T9" s="12" t="s">
        <v>34</v>
      </c>
      <c r="U9" s="11" t="s">
        <v>34</v>
      </c>
      <c r="V9" s="11" t="s">
        <v>34</v>
      </c>
      <c r="W9" s="12" t="s">
        <v>34</v>
      </c>
      <c r="X9" s="12" t="s">
        <v>34</v>
      </c>
      <c r="Y9" s="12" t="s">
        <v>34</v>
      </c>
      <c r="Z9" s="12" t="s">
        <v>34</v>
      </c>
      <c r="AA9" s="12" t="s">
        <v>34</v>
      </c>
      <c r="AB9" s="11" t="s">
        <v>34</v>
      </c>
      <c r="AC9" s="11" t="s">
        <v>34</v>
      </c>
      <c r="AD9" s="12" t="s">
        <v>34</v>
      </c>
      <c r="AE9" s="12" t="s">
        <v>34</v>
      </c>
    </row>
    <row r="10" ht="16" customHeight="1" spans="1:31" x14ac:dyDescent="0.25">
      <c r="A10" s="5" t="s">
        <v>34</v>
      </c>
      <c r="B10" s="13" t="s">
        <v>41</v>
      </c>
      <c r="C10" s="7" t="s">
        <v>33</v>
      </c>
      <c r="D10" s="8">
        <v>46086.95833333333</v>
      </c>
      <c r="E10" s="8">
        <f>=IFERROR(WORKDAY(D10,ROUNDUP(F10,0)-1),D10)</f>
        <v>46086.95833333333</v>
      </c>
      <c r="F10" s="9">
        <v>0.6</v>
      </c>
      <c r="G10" s="10">
        <v>0</v>
      </c>
      <c r="H10" s="11" t="s">
        <v>34</v>
      </c>
      <c r="I10" s="12" t="s">
        <v>34</v>
      </c>
      <c r="J10" s="12" t="s">
        <v>34</v>
      </c>
      <c r="K10" s="12" t="s">
        <v>34</v>
      </c>
      <c r="L10" s="12" t="s">
        <v>34</v>
      </c>
      <c r="M10" s="12" t="s">
        <v>34</v>
      </c>
      <c r="N10" s="11" t="s">
        <v>34</v>
      </c>
      <c r="O10" s="11" t="s">
        <v>34</v>
      </c>
      <c r="P10" s="12" t="s">
        <v>34</v>
      </c>
      <c r="Q10" s="12" t="s">
        <v>34</v>
      </c>
      <c r="R10" s="12" t="s">
        <v>34</v>
      </c>
      <c r="S10" s="12" t="s">
        <v>34</v>
      </c>
      <c r="T10" s="12" t="s">
        <v>34</v>
      </c>
      <c r="U10" s="11" t="s">
        <v>34</v>
      </c>
      <c r="V10" s="11" t="s">
        <v>34</v>
      </c>
      <c r="W10" s="12" t="s">
        <v>34</v>
      </c>
      <c r="X10" s="12" t="s">
        <v>34</v>
      </c>
      <c r="Y10" s="12" t="s">
        <v>34</v>
      </c>
      <c r="Z10" s="12" t="s">
        <v>34</v>
      </c>
      <c r="AA10" s="12" t="s">
        <v>34</v>
      </c>
      <c r="AB10" s="11" t="s">
        <v>34</v>
      </c>
      <c r="AC10" s="11" t="s">
        <v>34</v>
      </c>
      <c r="AD10" s="12" t="s">
        <v>34</v>
      </c>
      <c r="AE10" s="12" t="s">
        <v>34</v>
      </c>
    </row>
    <row r="11" ht="16" customHeight="1" spans="1:31" x14ac:dyDescent="0.25">
      <c r="A11" s="5">
        <v>9</v>
      </c>
      <c r="B11" s="6" t="s">
        <v>42</v>
      </c>
      <c r="C11" s="7" t="s">
        <v>33</v>
      </c>
      <c r="D11" s="8">
        <v>46087.95833333333</v>
      </c>
      <c r="E11" s="8">
        <f>=IFERROR(WORKDAY(D11,ROUNDUP(F11,0)-1),D11)</f>
        <v>46087.95833333333</v>
      </c>
      <c r="F11" s="9">
        <v>1.5</v>
      </c>
      <c r="G11" s="10">
        <v>0</v>
      </c>
      <c r="H11" s="11" t="s">
        <v>34</v>
      </c>
      <c r="I11" s="12" t="s">
        <v>34</v>
      </c>
      <c r="J11" s="12" t="s">
        <v>34</v>
      </c>
      <c r="K11" s="12" t="s">
        <v>34</v>
      </c>
      <c r="L11" s="12" t="s">
        <v>34</v>
      </c>
      <c r="M11" s="12" t="s">
        <v>34</v>
      </c>
      <c r="N11" s="11" t="s">
        <v>34</v>
      </c>
      <c r="O11" s="11" t="s">
        <v>34</v>
      </c>
      <c r="P11" s="12" t="s">
        <v>34</v>
      </c>
      <c r="Q11" s="12" t="s">
        <v>34</v>
      </c>
      <c r="R11" s="12" t="s">
        <v>34</v>
      </c>
      <c r="S11" s="12" t="s">
        <v>34</v>
      </c>
      <c r="T11" s="12" t="s">
        <v>34</v>
      </c>
      <c r="U11" s="11" t="s">
        <v>34</v>
      </c>
      <c r="V11" s="11" t="s">
        <v>34</v>
      </c>
      <c r="W11" s="12" t="s">
        <v>34</v>
      </c>
      <c r="X11" s="12" t="s">
        <v>34</v>
      </c>
      <c r="Y11" s="12" t="s">
        <v>34</v>
      </c>
      <c r="Z11" s="12" t="s">
        <v>34</v>
      </c>
      <c r="AA11" s="12" t="s">
        <v>34</v>
      </c>
      <c r="AB11" s="11" t="s">
        <v>34</v>
      </c>
      <c r="AC11" s="11" t="s">
        <v>34</v>
      </c>
      <c r="AD11" s="12" t="s">
        <v>34</v>
      </c>
      <c r="AE11" s="12" t="s">
        <v>34</v>
      </c>
    </row>
    <row r="12" ht="16" customHeight="1" spans="1:31" x14ac:dyDescent="0.25">
      <c r="A12" s="5" t="s">
        <v>34</v>
      </c>
      <c r="B12" s="13" t="s">
        <v>43</v>
      </c>
      <c r="C12" s="7" t="s">
        <v>33</v>
      </c>
      <c r="D12" s="8">
        <v>46087.95833333333</v>
      </c>
      <c r="E12" s="8">
        <f>=IFERROR(WORKDAY(D12,ROUNDUP(F12,0)-1),D12)</f>
        <v>46087.95833333333</v>
      </c>
      <c r="F12" s="9">
        <v>0.5</v>
      </c>
      <c r="G12" s="10">
        <v>0</v>
      </c>
      <c r="H12" s="11" t="s">
        <v>34</v>
      </c>
      <c r="I12" s="12" t="s">
        <v>34</v>
      </c>
      <c r="J12" s="12" t="s">
        <v>34</v>
      </c>
      <c r="K12" s="12" t="s">
        <v>34</v>
      </c>
      <c r="L12" s="12" t="s">
        <v>34</v>
      </c>
      <c r="M12" s="12" t="s">
        <v>34</v>
      </c>
      <c r="N12" s="11" t="s">
        <v>34</v>
      </c>
      <c r="O12" s="11" t="s">
        <v>34</v>
      </c>
      <c r="P12" s="12" t="s">
        <v>34</v>
      </c>
      <c r="Q12" s="12" t="s">
        <v>34</v>
      </c>
      <c r="R12" s="12" t="s">
        <v>34</v>
      </c>
      <c r="S12" s="12" t="s">
        <v>34</v>
      </c>
      <c r="T12" s="12" t="s">
        <v>34</v>
      </c>
      <c r="U12" s="11" t="s">
        <v>34</v>
      </c>
      <c r="V12" s="11" t="s">
        <v>34</v>
      </c>
      <c r="W12" s="12" t="s">
        <v>34</v>
      </c>
      <c r="X12" s="12" t="s">
        <v>34</v>
      </c>
      <c r="Y12" s="12" t="s">
        <v>34</v>
      </c>
      <c r="Z12" s="12" t="s">
        <v>34</v>
      </c>
      <c r="AA12" s="12" t="s">
        <v>34</v>
      </c>
      <c r="AB12" s="11" t="s">
        <v>34</v>
      </c>
      <c r="AC12" s="11" t="s">
        <v>34</v>
      </c>
      <c r="AD12" s="12" t="s">
        <v>34</v>
      </c>
      <c r="AE12" s="12" t="s">
        <v>34</v>
      </c>
    </row>
    <row r="13" ht="16" customHeight="1" spans="1:31" x14ac:dyDescent="0.25">
      <c r="A13" s="5" t="s">
        <v>34</v>
      </c>
      <c r="B13" s="13" t="s">
        <v>44</v>
      </c>
      <c r="C13" s="7" t="s">
        <v>33</v>
      </c>
      <c r="D13" s="8">
        <v>46089.95833333333</v>
      </c>
      <c r="E13" s="8">
        <f>=IFERROR(WORKDAY(D13,ROUNDUP(F13,0)-1),D13)</f>
        <v>46089.95833333333</v>
      </c>
      <c r="F13" s="9">
        <v>0.5</v>
      </c>
      <c r="G13" s="10">
        <v>0</v>
      </c>
      <c r="H13" s="11" t="s">
        <v>34</v>
      </c>
      <c r="I13" s="12" t="s">
        <v>34</v>
      </c>
      <c r="J13" s="12" t="s">
        <v>34</v>
      </c>
      <c r="K13" s="12" t="s">
        <v>34</v>
      </c>
      <c r="L13" s="12" t="s">
        <v>34</v>
      </c>
      <c r="M13" s="12" t="s">
        <v>34</v>
      </c>
      <c r="N13" s="11" t="s">
        <v>34</v>
      </c>
      <c r="O13" s="11" t="s">
        <v>34</v>
      </c>
      <c r="P13" s="12" t="s">
        <v>34</v>
      </c>
      <c r="Q13" s="12" t="s">
        <v>34</v>
      </c>
      <c r="R13" s="12" t="s">
        <v>34</v>
      </c>
      <c r="S13" s="12" t="s">
        <v>34</v>
      </c>
      <c r="T13" s="12" t="s">
        <v>34</v>
      </c>
      <c r="U13" s="11" t="s">
        <v>34</v>
      </c>
      <c r="V13" s="11" t="s">
        <v>34</v>
      </c>
      <c r="W13" s="12" t="s">
        <v>34</v>
      </c>
      <c r="X13" s="12" t="s">
        <v>34</v>
      </c>
      <c r="Y13" s="12" t="s">
        <v>34</v>
      </c>
      <c r="Z13" s="12" t="s">
        <v>34</v>
      </c>
      <c r="AA13" s="12" t="s">
        <v>34</v>
      </c>
      <c r="AB13" s="11" t="s">
        <v>34</v>
      </c>
      <c r="AC13" s="11" t="s">
        <v>34</v>
      </c>
      <c r="AD13" s="12" t="s">
        <v>34</v>
      </c>
      <c r="AE13" s="12" t="s">
        <v>34</v>
      </c>
    </row>
    <row r="14" ht="16" customHeight="1" spans="1:31" x14ac:dyDescent="0.25">
      <c r="A14" s="5" t="s">
        <v>34</v>
      </c>
      <c r="B14" s="13" t="s">
        <v>45</v>
      </c>
      <c r="C14" s="7" t="s">
        <v>33</v>
      </c>
      <c r="D14" s="8">
        <v>46089.95833333333</v>
      </c>
      <c r="E14" s="8">
        <f>=IFERROR(WORKDAY(D14,ROUNDUP(F14,0)-1),D14)</f>
        <v>46089.95833333333</v>
      </c>
      <c r="F14" s="9">
        <v>0.5</v>
      </c>
      <c r="G14" s="10">
        <v>0</v>
      </c>
      <c r="H14" s="11" t="s">
        <v>34</v>
      </c>
      <c r="I14" s="12" t="s">
        <v>34</v>
      </c>
      <c r="J14" s="12" t="s">
        <v>34</v>
      </c>
      <c r="K14" s="12" t="s">
        <v>34</v>
      </c>
      <c r="L14" s="12" t="s">
        <v>34</v>
      </c>
      <c r="M14" s="12" t="s">
        <v>34</v>
      </c>
      <c r="N14" s="11" t="s">
        <v>34</v>
      </c>
      <c r="O14" s="11" t="s">
        <v>34</v>
      </c>
      <c r="P14" s="12" t="s">
        <v>34</v>
      </c>
      <c r="Q14" s="12" t="s">
        <v>34</v>
      </c>
      <c r="R14" s="12" t="s">
        <v>34</v>
      </c>
      <c r="S14" s="12" t="s">
        <v>34</v>
      </c>
      <c r="T14" s="12" t="s">
        <v>34</v>
      </c>
      <c r="U14" s="11" t="s">
        <v>34</v>
      </c>
      <c r="V14" s="11" t="s">
        <v>34</v>
      </c>
      <c r="W14" s="12" t="s">
        <v>34</v>
      </c>
      <c r="X14" s="12" t="s">
        <v>34</v>
      </c>
      <c r="Y14" s="12" t="s">
        <v>34</v>
      </c>
      <c r="Z14" s="12" t="s">
        <v>34</v>
      </c>
      <c r="AA14" s="12" t="s">
        <v>34</v>
      </c>
      <c r="AB14" s="11" t="s">
        <v>34</v>
      </c>
      <c r="AC14" s="11" t="s">
        <v>34</v>
      </c>
      <c r="AD14" s="12" t="s">
        <v>34</v>
      </c>
      <c r="AE14" s="12" t="s">
        <v>34</v>
      </c>
    </row>
    <row r="15" ht="16" customHeight="1" spans="1:31" x14ac:dyDescent="0.25">
      <c r="A15" s="5">
        <v>13</v>
      </c>
      <c r="B15" s="6" t="s">
        <v>46</v>
      </c>
      <c r="C15" s="7" t="s">
        <v>33</v>
      </c>
      <c r="D15" s="8">
        <v>46091.95833333333</v>
      </c>
      <c r="E15" s="8">
        <f>=IFERROR(WORKDAY(D15,ROUNDUP(F15,0)-1),D15)</f>
        <v>46091.95833333333</v>
      </c>
      <c r="F15" s="9">
        <v>1.5</v>
      </c>
      <c r="G15" s="10">
        <v>0</v>
      </c>
      <c r="H15" s="11" t="s">
        <v>34</v>
      </c>
      <c r="I15" s="12" t="s">
        <v>34</v>
      </c>
      <c r="J15" s="12" t="s">
        <v>34</v>
      </c>
      <c r="K15" s="12" t="s">
        <v>34</v>
      </c>
      <c r="L15" s="12" t="s">
        <v>34</v>
      </c>
      <c r="M15" s="12" t="s">
        <v>34</v>
      </c>
      <c r="N15" s="11" t="s">
        <v>34</v>
      </c>
      <c r="O15" s="11" t="s">
        <v>34</v>
      </c>
      <c r="P15" s="12" t="s">
        <v>34</v>
      </c>
      <c r="Q15" s="12" t="s">
        <v>34</v>
      </c>
      <c r="R15" s="12" t="s">
        <v>34</v>
      </c>
      <c r="S15" s="12" t="s">
        <v>34</v>
      </c>
      <c r="T15" s="12" t="s">
        <v>34</v>
      </c>
      <c r="U15" s="11" t="s">
        <v>34</v>
      </c>
      <c r="V15" s="11" t="s">
        <v>34</v>
      </c>
      <c r="W15" s="12" t="s">
        <v>34</v>
      </c>
      <c r="X15" s="12" t="s">
        <v>34</v>
      </c>
      <c r="Y15" s="12" t="s">
        <v>34</v>
      </c>
      <c r="Z15" s="12" t="s">
        <v>34</v>
      </c>
      <c r="AA15" s="12" t="s">
        <v>34</v>
      </c>
      <c r="AB15" s="11" t="s">
        <v>34</v>
      </c>
      <c r="AC15" s="11" t="s">
        <v>34</v>
      </c>
      <c r="AD15" s="12" t="s">
        <v>34</v>
      </c>
      <c r="AE15" s="12" t="s">
        <v>34</v>
      </c>
    </row>
    <row r="16" ht="16" customHeight="1" spans="1:31" x14ac:dyDescent="0.25">
      <c r="A16" s="5" t="s">
        <v>34</v>
      </c>
      <c r="B16" s="13" t="s">
        <v>47</v>
      </c>
      <c r="C16" s="7" t="s">
        <v>33</v>
      </c>
      <c r="D16" s="8">
        <v>46091.95833333333</v>
      </c>
      <c r="E16" s="8">
        <f>=IFERROR(WORKDAY(D16,ROUNDUP(F16,0)-1),D16)</f>
        <v>46091.95833333333</v>
      </c>
      <c r="F16" s="9">
        <v>1</v>
      </c>
      <c r="G16" s="10">
        <v>0</v>
      </c>
      <c r="H16" s="11" t="s">
        <v>34</v>
      </c>
      <c r="I16" s="12" t="s">
        <v>34</v>
      </c>
      <c r="J16" s="12" t="s">
        <v>34</v>
      </c>
      <c r="K16" s="12" t="s">
        <v>34</v>
      </c>
      <c r="L16" s="12" t="s">
        <v>34</v>
      </c>
      <c r="M16" s="12" t="s">
        <v>34</v>
      </c>
      <c r="N16" s="11" t="s">
        <v>34</v>
      </c>
      <c r="O16" s="11" t="s">
        <v>34</v>
      </c>
      <c r="P16" s="12" t="s">
        <v>34</v>
      </c>
      <c r="Q16" s="12" t="s">
        <v>34</v>
      </c>
      <c r="R16" s="12" t="s">
        <v>34</v>
      </c>
      <c r="S16" s="12" t="s">
        <v>34</v>
      </c>
      <c r="T16" s="12" t="s">
        <v>34</v>
      </c>
      <c r="U16" s="11" t="s">
        <v>34</v>
      </c>
      <c r="V16" s="11" t="s">
        <v>34</v>
      </c>
      <c r="W16" s="12" t="s">
        <v>34</v>
      </c>
      <c r="X16" s="12" t="s">
        <v>34</v>
      </c>
      <c r="Y16" s="12" t="s">
        <v>34</v>
      </c>
      <c r="Z16" s="12" t="s">
        <v>34</v>
      </c>
      <c r="AA16" s="12" t="s">
        <v>34</v>
      </c>
      <c r="AB16" s="11" t="s">
        <v>34</v>
      </c>
      <c r="AC16" s="11" t="s">
        <v>34</v>
      </c>
      <c r="AD16" s="12" t="s">
        <v>34</v>
      </c>
      <c r="AE16" s="12" t="s">
        <v>34</v>
      </c>
    </row>
    <row r="17" ht="16" customHeight="1" spans="1:31" x14ac:dyDescent="0.25">
      <c r="A17" s="5" t="s">
        <v>34</v>
      </c>
      <c r="B17" s="13" t="s">
        <v>48</v>
      </c>
      <c r="C17" s="7" t="s">
        <v>33</v>
      </c>
      <c r="D17" s="8">
        <v>46092.95833333333</v>
      </c>
      <c r="E17" s="8">
        <f>=IFERROR(WORKDAY(D17,ROUNDUP(F17,0)-1),D17)</f>
        <v>46092.95833333333</v>
      </c>
      <c r="F17" s="9">
        <v>0.5</v>
      </c>
      <c r="G17" s="10">
        <v>0</v>
      </c>
      <c r="H17" s="11" t="s">
        <v>34</v>
      </c>
      <c r="I17" s="12" t="s">
        <v>34</v>
      </c>
      <c r="J17" s="12" t="s">
        <v>34</v>
      </c>
      <c r="K17" s="12" t="s">
        <v>34</v>
      </c>
      <c r="L17" s="12" t="s">
        <v>34</v>
      </c>
      <c r="M17" s="12" t="s">
        <v>34</v>
      </c>
      <c r="N17" s="11" t="s">
        <v>34</v>
      </c>
      <c r="O17" s="11" t="s">
        <v>34</v>
      </c>
      <c r="P17" s="12" t="s">
        <v>34</v>
      </c>
      <c r="Q17" s="12" t="s">
        <v>34</v>
      </c>
      <c r="R17" s="12" t="s">
        <v>34</v>
      </c>
      <c r="S17" s="12" t="s">
        <v>34</v>
      </c>
      <c r="T17" s="12" t="s">
        <v>34</v>
      </c>
      <c r="U17" s="11" t="s">
        <v>34</v>
      </c>
      <c r="V17" s="11" t="s">
        <v>34</v>
      </c>
      <c r="W17" s="12" t="s">
        <v>34</v>
      </c>
      <c r="X17" s="12" t="s">
        <v>34</v>
      </c>
      <c r="Y17" s="12" t="s">
        <v>34</v>
      </c>
      <c r="Z17" s="12" t="s">
        <v>34</v>
      </c>
      <c r="AA17" s="12" t="s">
        <v>34</v>
      </c>
      <c r="AB17" s="11" t="s">
        <v>34</v>
      </c>
      <c r="AC17" s="11" t="s">
        <v>34</v>
      </c>
      <c r="AD17" s="12" t="s">
        <v>34</v>
      </c>
      <c r="AE17" s="12" t="s">
        <v>34</v>
      </c>
    </row>
    <row r="18" ht="16" customHeight="1" spans="1:31" x14ac:dyDescent="0.25">
      <c r="A18" s="5">
        <v>16</v>
      </c>
      <c r="B18" s="6" t="s">
        <v>49</v>
      </c>
      <c r="C18" s="7" t="s">
        <v>33</v>
      </c>
      <c r="D18" s="8">
        <v>46094.95833333333</v>
      </c>
      <c r="E18" s="8">
        <f>=IFERROR(WORKDAY(D18,ROUNDUP(F18,0)-1),D18)</f>
        <v>46094.95833333333</v>
      </c>
      <c r="F18" s="9">
        <v>0.75</v>
      </c>
      <c r="G18" s="10">
        <v>0</v>
      </c>
      <c r="H18" s="11" t="s">
        <v>34</v>
      </c>
      <c r="I18" s="12" t="s">
        <v>34</v>
      </c>
      <c r="J18" s="12" t="s">
        <v>34</v>
      </c>
      <c r="K18" s="12" t="s">
        <v>34</v>
      </c>
      <c r="L18" s="12" t="s">
        <v>34</v>
      </c>
      <c r="M18" s="12" t="s">
        <v>34</v>
      </c>
      <c r="N18" s="11" t="s">
        <v>34</v>
      </c>
      <c r="O18" s="11" t="s">
        <v>34</v>
      </c>
      <c r="P18" s="12" t="s">
        <v>34</v>
      </c>
      <c r="Q18" s="12" t="s">
        <v>34</v>
      </c>
      <c r="R18" s="12" t="s">
        <v>34</v>
      </c>
      <c r="S18" s="12" t="s">
        <v>34</v>
      </c>
      <c r="T18" s="12" t="s">
        <v>34</v>
      </c>
      <c r="U18" s="11" t="s">
        <v>34</v>
      </c>
      <c r="V18" s="11" t="s">
        <v>34</v>
      </c>
      <c r="W18" s="12" t="s">
        <v>34</v>
      </c>
      <c r="X18" s="12" t="s">
        <v>34</v>
      </c>
      <c r="Y18" s="12" t="s">
        <v>34</v>
      </c>
      <c r="Z18" s="12" t="s">
        <v>34</v>
      </c>
      <c r="AA18" s="12" t="s">
        <v>34</v>
      </c>
      <c r="AB18" s="11" t="s">
        <v>34</v>
      </c>
      <c r="AC18" s="11" t="s">
        <v>34</v>
      </c>
      <c r="AD18" s="12" t="s">
        <v>34</v>
      </c>
      <c r="AE18" s="12" t="s">
        <v>34</v>
      </c>
    </row>
    <row r="19" ht="16" customHeight="1" spans="1:31" x14ac:dyDescent="0.25">
      <c r="A19" s="5" t="s">
        <v>34</v>
      </c>
      <c r="B19" s="13" t="s">
        <v>50</v>
      </c>
      <c r="C19" s="7" t="s">
        <v>33</v>
      </c>
      <c r="D19" s="8">
        <v>46094.95833333333</v>
      </c>
      <c r="E19" s="8">
        <f>=IFERROR(WORKDAY(D19,ROUNDUP(F19,0)-1),D19)</f>
        <v>46094.95833333333</v>
      </c>
      <c r="F19" s="9">
        <v>0.5</v>
      </c>
      <c r="G19" s="10">
        <v>0</v>
      </c>
      <c r="H19" s="11" t="s">
        <v>34</v>
      </c>
      <c r="I19" s="12" t="s">
        <v>34</v>
      </c>
      <c r="J19" s="12" t="s">
        <v>34</v>
      </c>
      <c r="K19" s="12" t="s">
        <v>34</v>
      </c>
      <c r="L19" s="12" t="s">
        <v>34</v>
      </c>
      <c r="M19" s="12" t="s">
        <v>34</v>
      </c>
      <c r="N19" s="11" t="s">
        <v>34</v>
      </c>
      <c r="O19" s="11" t="s">
        <v>34</v>
      </c>
      <c r="P19" s="12" t="s">
        <v>34</v>
      </c>
      <c r="Q19" s="12" t="s">
        <v>34</v>
      </c>
      <c r="R19" s="12" t="s">
        <v>34</v>
      </c>
      <c r="S19" s="12" t="s">
        <v>34</v>
      </c>
      <c r="T19" s="12" t="s">
        <v>34</v>
      </c>
      <c r="U19" s="11" t="s">
        <v>34</v>
      </c>
      <c r="V19" s="11" t="s">
        <v>34</v>
      </c>
      <c r="W19" s="12" t="s">
        <v>34</v>
      </c>
      <c r="X19" s="12" t="s">
        <v>34</v>
      </c>
      <c r="Y19" s="12" t="s">
        <v>34</v>
      </c>
      <c r="Z19" s="12" t="s">
        <v>34</v>
      </c>
      <c r="AA19" s="12" t="s">
        <v>34</v>
      </c>
      <c r="AB19" s="11" t="s">
        <v>34</v>
      </c>
      <c r="AC19" s="11" t="s">
        <v>34</v>
      </c>
      <c r="AD19" s="12" t="s">
        <v>34</v>
      </c>
      <c r="AE19" s="12" t="s">
        <v>34</v>
      </c>
    </row>
    <row r="20" ht="16" customHeight="1" spans="1:31" x14ac:dyDescent="0.25">
      <c r="A20" s="5" t="s">
        <v>34</v>
      </c>
      <c r="B20" s="13" t="s">
        <v>51</v>
      </c>
      <c r="C20" s="7" t="s">
        <v>33</v>
      </c>
      <c r="D20" s="8">
        <v>46096.95833333333</v>
      </c>
      <c r="E20" s="8">
        <f>=IFERROR(WORKDAY(D20,ROUNDUP(F20,0)-1),D20)</f>
        <v>46096.95833333333</v>
      </c>
      <c r="F20" s="9">
        <v>0.25</v>
      </c>
      <c r="G20" s="10">
        <v>0</v>
      </c>
      <c r="H20" s="11" t="s">
        <v>34</v>
      </c>
      <c r="I20" s="12" t="s">
        <v>34</v>
      </c>
      <c r="J20" s="12" t="s">
        <v>34</v>
      </c>
      <c r="K20" s="12" t="s">
        <v>34</v>
      </c>
      <c r="L20" s="12" t="s">
        <v>34</v>
      </c>
      <c r="M20" s="12" t="s">
        <v>34</v>
      </c>
      <c r="N20" s="11" t="s">
        <v>34</v>
      </c>
      <c r="O20" s="11" t="s">
        <v>34</v>
      </c>
      <c r="P20" s="12" t="s">
        <v>34</v>
      </c>
      <c r="Q20" s="12" t="s">
        <v>34</v>
      </c>
      <c r="R20" s="12" t="s">
        <v>34</v>
      </c>
      <c r="S20" s="12" t="s">
        <v>34</v>
      </c>
      <c r="T20" s="12" t="s">
        <v>34</v>
      </c>
      <c r="U20" s="11" t="s">
        <v>34</v>
      </c>
      <c r="V20" s="11" t="s">
        <v>34</v>
      </c>
      <c r="W20" s="12" t="s">
        <v>34</v>
      </c>
      <c r="X20" s="12" t="s">
        <v>34</v>
      </c>
      <c r="Y20" s="12" t="s">
        <v>34</v>
      </c>
      <c r="Z20" s="12" t="s">
        <v>34</v>
      </c>
      <c r="AA20" s="12" t="s">
        <v>34</v>
      </c>
      <c r="AB20" s="11" t="s">
        <v>34</v>
      </c>
      <c r="AC20" s="11" t="s">
        <v>34</v>
      </c>
      <c r="AD20" s="12" t="s">
        <v>34</v>
      </c>
      <c r="AE20" s="12" t="s">
        <v>34</v>
      </c>
    </row>
    <row r="21" ht="16" customHeight="1" spans="1:31" x14ac:dyDescent="0.25">
      <c r="A21" s="5">
        <v>19</v>
      </c>
      <c r="B21" s="6" t="s">
        <v>52</v>
      </c>
      <c r="C21" s="7" t="s">
        <v>33</v>
      </c>
      <c r="D21" s="8">
        <v>46097.95833333333</v>
      </c>
      <c r="E21" s="8">
        <f>=IFERROR(WORKDAY(D21,ROUNDUP(F21,0)-1),D21)</f>
        <v>46097.95833333333</v>
      </c>
      <c r="F21" s="9">
        <v>1.5</v>
      </c>
      <c r="G21" s="10">
        <v>0</v>
      </c>
      <c r="H21" s="11" t="s">
        <v>34</v>
      </c>
      <c r="I21" s="12" t="s">
        <v>34</v>
      </c>
      <c r="J21" s="12" t="s">
        <v>34</v>
      </c>
      <c r="K21" s="12" t="s">
        <v>34</v>
      </c>
      <c r="L21" s="12" t="s">
        <v>34</v>
      </c>
      <c r="M21" s="12" t="s">
        <v>34</v>
      </c>
      <c r="N21" s="11" t="s">
        <v>34</v>
      </c>
      <c r="O21" s="11" t="s">
        <v>34</v>
      </c>
      <c r="P21" s="12" t="s">
        <v>34</v>
      </c>
      <c r="Q21" s="12" t="s">
        <v>34</v>
      </c>
      <c r="R21" s="12" t="s">
        <v>34</v>
      </c>
      <c r="S21" s="12" t="s">
        <v>34</v>
      </c>
      <c r="T21" s="12" t="s">
        <v>34</v>
      </c>
      <c r="U21" s="11" t="s">
        <v>34</v>
      </c>
      <c r="V21" s="11" t="s">
        <v>34</v>
      </c>
      <c r="W21" s="12" t="s">
        <v>34</v>
      </c>
      <c r="X21" s="12" t="s">
        <v>34</v>
      </c>
      <c r="Y21" s="12" t="s">
        <v>34</v>
      </c>
      <c r="Z21" s="12" t="s">
        <v>34</v>
      </c>
      <c r="AA21" s="12" t="s">
        <v>34</v>
      </c>
      <c r="AB21" s="11" t="s">
        <v>34</v>
      </c>
      <c r="AC21" s="11" t="s">
        <v>34</v>
      </c>
      <c r="AD21" s="12" t="s">
        <v>34</v>
      </c>
      <c r="AE21" s="12" t="s">
        <v>34</v>
      </c>
    </row>
    <row r="22" ht="16" customHeight="1" spans="1:31" x14ac:dyDescent="0.25">
      <c r="A22" s="5" t="s">
        <v>34</v>
      </c>
      <c r="B22" s="13" t="s">
        <v>53</v>
      </c>
      <c r="C22" s="7" t="s">
        <v>33</v>
      </c>
      <c r="D22" s="8">
        <v>46097.95833333333</v>
      </c>
      <c r="E22" s="8">
        <f>=IFERROR(WORKDAY(D22,ROUNDUP(F22,0)-1),D22)</f>
        <v>46097.95833333333</v>
      </c>
      <c r="F22" s="9">
        <v>1</v>
      </c>
      <c r="G22" s="10">
        <v>0</v>
      </c>
      <c r="H22" s="11" t="s">
        <v>34</v>
      </c>
      <c r="I22" s="12" t="s">
        <v>34</v>
      </c>
      <c r="J22" s="12" t="s">
        <v>34</v>
      </c>
      <c r="K22" s="12" t="s">
        <v>34</v>
      </c>
      <c r="L22" s="12" t="s">
        <v>34</v>
      </c>
      <c r="M22" s="12" t="s">
        <v>34</v>
      </c>
      <c r="N22" s="11" t="s">
        <v>34</v>
      </c>
      <c r="O22" s="11" t="s">
        <v>34</v>
      </c>
      <c r="P22" s="12" t="s">
        <v>34</v>
      </c>
      <c r="Q22" s="12" t="s">
        <v>34</v>
      </c>
      <c r="R22" s="12" t="s">
        <v>34</v>
      </c>
      <c r="S22" s="12" t="s">
        <v>34</v>
      </c>
      <c r="T22" s="12" t="s">
        <v>34</v>
      </c>
      <c r="U22" s="11" t="s">
        <v>34</v>
      </c>
      <c r="V22" s="11" t="s">
        <v>34</v>
      </c>
      <c r="W22" s="12" t="s">
        <v>34</v>
      </c>
      <c r="X22" s="12" t="s">
        <v>34</v>
      </c>
      <c r="Y22" s="12" t="s">
        <v>34</v>
      </c>
      <c r="Z22" s="12" t="s">
        <v>34</v>
      </c>
      <c r="AA22" s="12" t="s">
        <v>34</v>
      </c>
      <c r="AB22" s="11" t="s">
        <v>34</v>
      </c>
      <c r="AC22" s="11" t="s">
        <v>34</v>
      </c>
      <c r="AD22" s="12" t="s">
        <v>34</v>
      </c>
      <c r="AE22" s="12" t="s">
        <v>34</v>
      </c>
    </row>
    <row r="23" ht="16" customHeight="1" spans="1:31" x14ac:dyDescent="0.25">
      <c r="A23" s="5" t="s">
        <v>34</v>
      </c>
      <c r="B23" s="13" t="s">
        <v>54</v>
      </c>
      <c r="C23" s="7" t="s">
        <v>33</v>
      </c>
      <c r="D23" s="8">
        <v>46098.95833333333</v>
      </c>
      <c r="E23" s="8">
        <f>=IFERROR(WORKDAY(D23,ROUNDUP(F23,0)-1),D23)</f>
        <v>46098.95833333333</v>
      </c>
      <c r="F23" s="9">
        <v>0.5</v>
      </c>
      <c r="G23" s="10">
        <v>0</v>
      </c>
      <c r="H23" s="11" t="s">
        <v>34</v>
      </c>
      <c r="I23" s="12" t="s">
        <v>34</v>
      </c>
      <c r="J23" s="12" t="s">
        <v>34</v>
      </c>
      <c r="K23" s="12" t="s">
        <v>34</v>
      </c>
      <c r="L23" s="12" t="s">
        <v>34</v>
      </c>
      <c r="M23" s="12" t="s">
        <v>34</v>
      </c>
      <c r="N23" s="11" t="s">
        <v>34</v>
      </c>
      <c r="O23" s="11" t="s">
        <v>34</v>
      </c>
      <c r="P23" s="12" t="s">
        <v>34</v>
      </c>
      <c r="Q23" s="12" t="s">
        <v>34</v>
      </c>
      <c r="R23" s="12" t="s">
        <v>34</v>
      </c>
      <c r="S23" s="12" t="s">
        <v>34</v>
      </c>
      <c r="T23" s="12" t="s">
        <v>34</v>
      </c>
      <c r="U23" s="11" t="s">
        <v>34</v>
      </c>
      <c r="V23" s="11" t="s">
        <v>34</v>
      </c>
      <c r="W23" s="12" t="s">
        <v>34</v>
      </c>
      <c r="X23" s="12" t="s">
        <v>34</v>
      </c>
      <c r="Y23" s="12" t="s">
        <v>34</v>
      </c>
      <c r="Z23" s="12" t="s">
        <v>34</v>
      </c>
      <c r="AA23" s="12" t="s">
        <v>34</v>
      </c>
      <c r="AB23" s="11" t="s">
        <v>34</v>
      </c>
      <c r="AC23" s="11" t="s">
        <v>34</v>
      </c>
      <c r="AD23" s="12" t="s">
        <v>34</v>
      </c>
      <c r="AE23" s="12" t="s">
        <v>34</v>
      </c>
    </row>
    <row r="24" ht="16" customHeight="1" spans="1:31" x14ac:dyDescent="0.25">
      <c r="A24" s="5">
        <v>22</v>
      </c>
      <c r="B24" s="6" t="s">
        <v>55</v>
      </c>
      <c r="C24" s="7" t="s">
        <v>33</v>
      </c>
      <c r="D24" s="8">
        <v>46100.95833333333</v>
      </c>
      <c r="E24" s="8">
        <f>=IFERROR(WORKDAY(D24,ROUNDUP(F24,0)-1),D24)</f>
        <v>46100.95833333333</v>
      </c>
      <c r="F24" s="9">
        <v>1</v>
      </c>
      <c r="G24" s="10">
        <v>0</v>
      </c>
      <c r="H24" s="11" t="s">
        <v>34</v>
      </c>
      <c r="I24" s="12" t="s">
        <v>34</v>
      </c>
      <c r="J24" s="12" t="s">
        <v>34</v>
      </c>
      <c r="K24" s="12" t="s">
        <v>34</v>
      </c>
      <c r="L24" s="12" t="s">
        <v>34</v>
      </c>
      <c r="M24" s="12" t="s">
        <v>34</v>
      </c>
      <c r="N24" s="11" t="s">
        <v>34</v>
      </c>
      <c r="O24" s="11" t="s">
        <v>34</v>
      </c>
      <c r="P24" s="12" t="s">
        <v>34</v>
      </c>
      <c r="Q24" s="12" t="s">
        <v>34</v>
      </c>
      <c r="R24" s="12" t="s">
        <v>34</v>
      </c>
      <c r="S24" s="12" t="s">
        <v>34</v>
      </c>
      <c r="T24" s="12" t="s">
        <v>34</v>
      </c>
      <c r="U24" s="11" t="s">
        <v>34</v>
      </c>
      <c r="V24" s="11" t="s">
        <v>34</v>
      </c>
      <c r="W24" s="12" t="s">
        <v>34</v>
      </c>
      <c r="X24" s="12" t="s">
        <v>34</v>
      </c>
      <c r="Y24" s="12" t="s">
        <v>34</v>
      </c>
      <c r="Z24" s="12" t="s">
        <v>34</v>
      </c>
      <c r="AA24" s="12" t="s">
        <v>34</v>
      </c>
      <c r="AB24" s="11" t="s">
        <v>34</v>
      </c>
      <c r="AC24" s="11" t="s">
        <v>34</v>
      </c>
      <c r="AD24" s="12" t="s">
        <v>34</v>
      </c>
      <c r="AE24" s="12" t="s">
        <v>34</v>
      </c>
    </row>
    <row r="25" ht="16" customHeight="1" spans="1:31" x14ac:dyDescent="0.25">
      <c r="A25" s="5" t="s">
        <v>34</v>
      </c>
      <c r="B25" s="13" t="s">
        <v>56</v>
      </c>
      <c r="C25" s="7" t="s">
        <v>33</v>
      </c>
      <c r="D25" s="8">
        <v>46100.95833333333</v>
      </c>
      <c r="E25" s="8">
        <f>=IFERROR(WORKDAY(D25,ROUNDUP(F25,0)-1),D25)</f>
        <v>46100.95833333333</v>
      </c>
      <c r="F25" s="9">
        <v>0.5</v>
      </c>
      <c r="G25" s="10">
        <v>0</v>
      </c>
      <c r="H25" s="11" t="s">
        <v>34</v>
      </c>
      <c r="I25" s="12" t="s">
        <v>34</v>
      </c>
      <c r="J25" s="12" t="s">
        <v>34</v>
      </c>
      <c r="K25" s="12" t="s">
        <v>34</v>
      </c>
      <c r="L25" s="12" t="s">
        <v>34</v>
      </c>
      <c r="M25" s="12" t="s">
        <v>34</v>
      </c>
      <c r="N25" s="11" t="s">
        <v>34</v>
      </c>
      <c r="O25" s="11" t="s">
        <v>34</v>
      </c>
      <c r="P25" s="12" t="s">
        <v>34</v>
      </c>
      <c r="Q25" s="12" t="s">
        <v>34</v>
      </c>
      <c r="R25" s="12" t="s">
        <v>34</v>
      </c>
      <c r="S25" s="12" t="s">
        <v>34</v>
      </c>
      <c r="T25" s="12" t="s">
        <v>34</v>
      </c>
      <c r="U25" s="11" t="s">
        <v>34</v>
      </c>
      <c r="V25" s="11" t="s">
        <v>34</v>
      </c>
      <c r="W25" s="12" t="s">
        <v>34</v>
      </c>
      <c r="X25" s="12" t="s">
        <v>34</v>
      </c>
      <c r="Y25" s="12" t="s">
        <v>34</v>
      </c>
      <c r="Z25" s="12" t="s">
        <v>34</v>
      </c>
      <c r="AA25" s="12" t="s">
        <v>34</v>
      </c>
      <c r="AB25" s="11" t="s">
        <v>34</v>
      </c>
      <c r="AC25" s="11" t="s">
        <v>34</v>
      </c>
      <c r="AD25" s="12" t="s">
        <v>34</v>
      </c>
      <c r="AE25" s="12" t="s">
        <v>34</v>
      </c>
    </row>
    <row r="26" ht="16" customHeight="1" spans="1:31" x14ac:dyDescent="0.25">
      <c r="A26" s="5" t="s">
        <v>34</v>
      </c>
      <c r="B26" s="13" t="s">
        <v>57</v>
      </c>
      <c r="C26" s="7" t="s">
        <v>33</v>
      </c>
      <c r="D26" s="8">
        <v>46103.95833333333</v>
      </c>
      <c r="E26" s="8">
        <f>=IFERROR(WORKDAY(D26,ROUNDUP(F26,0)-1),D26)</f>
        <v>46103.95833333333</v>
      </c>
      <c r="F26" s="9">
        <v>0.5</v>
      </c>
      <c r="G26" s="10">
        <v>0</v>
      </c>
      <c r="H26" s="11" t="s">
        <v>34</v>
      </c>
      <c r="I26" s="12" t="s">
        <v>34</v>
      </c>
      <c r="J26" s="12" t="s">
        <v>34</v>
      </c>
      <c r="K26" s="12" t="s">
        <v>34</v>
      </c>
      <c r="L26" s="12" t="s">
        <v>34</v>
      </c>
      <c r="M26" s="12" t="s">
        <v>34</v>
      </c>
      <c r="N26" s="11" t="s">
        <v>34</v>
      </c>
      <c r="O26" s="11" t="s">
        <v>34</v>
      </c>
      <c r="P26" s="12" t="s">
        <v>34</v>
      </c>
      <c r="Q26" s="12" t="s">
        <v>34</v>
      </c>
      <c r="R26" s="12" t="s">
        <v>34</v>
      </c>
      <c r="S26" s="12" t="s">
        <v>34</v>
      </c>
      <c r="T26" s="12" t="s">
        <v>34</v>
      </c>
      <c r="U26" s="11" t="s">
        <v>34</v>
      </c>
      <c r="V26" s="11" t="s">
        <v>34</v>
      </c>
      <c r="W26" s="12" t="s">
        <v>34</v>
      </c>
      <c r="X26" s="12" t="s">
        <v>34</v>
      </c>
      <c r="Y26" s="12" t="s">
        <v>34</v>
      </c>
      <c r="Z26" s="12" t="s">
        <v>34</v>
      </c>
      <c r="AA26" s="12" t="s">
        <v>34</v>
      </c>
      <c r="AB26" s="11" t="s">
        <v>34</v>
      </c>
      <c r="AC26" s="11" t="s">
        <v>34</v>
      </c>
      <c r="AD26" s="12" t="s">
        <v>34</v>
      </c>
      <c r="AE26" s="12" t="s">
        <v>34</v>
      </c>
    </row>
    <row r="27" ht="16" customHeight="1" spans="1:31" x14ac:dyDescent="0.25">
      <c r="A27" s="5">
        <v>25</v>
      </c>
      <c r="B27" s="6" t="s">
        <v>58</v>
      </c>
      <c r="C27" s="7" t="s">
        <v>33</v>
      </c>
      <c r="D27" s="8">
        <v>46104.95833333333</v>
      </c>
      <c r="E27" s="8">
        <f>=IFERROR(WORKDAY(D27,ROUNDUP(F27,0)-1),D27)</f>
        <v>46104.95833333333</v>
      </c>
      <c r="F27" s="9">
        <v>1.25</v>
      </c>
      <c r="G27" s="10">
        <v>0</v>
      </c>
      <c r="H27" s="11" t="s">
        <v>34</v>
      </c>
      <c r="I27" s="12" t="s">
        <v>34</v>
      </c>
      <c r="J27" s="12" t="s">
        <v>34</v>
      </c>
      <c r="K27" s="12" t="s">
        <v>34</v>
      </c>
      <c r="L27" s="12" t="s">
        <v>34</v>
      </c>
      <c r="M27" s="12" t="s">
        <v>34</v>
      </c>
      <c r="N27" s="11" t="s">
        <v>34</v>
      </c>
      <c r="O27" s="11" t="s">
        <v>34</v>
      </c>
      <c r="P27" s="12" t="s">
        <v>34</v>
      </c>
      <c r="Q27" s="12" t="s">
        <v>34</v>
      </c>
      <c r="R27" s="12" t="s">
        <v>34</v>
      </c>
      <c r="S27" s="12" t="s">
        <v>34</v>
      </c>
      <c r="T27" s="12" t="s">
        <v>34</v>
      </c>
      <c r="U27" s="11" t="s">
        <v>34</v>
      </c>
      <c r="V27" s="11" t="s">
        <v>34</v>
      </c>
      <c r="W27" s="12" t="s">
        <v>34</v>
      </c>
      <c r="X27" s="12" t="s">
        <v>34</v>
      </c>
      <c r="Y27" s="12" t="s">
        <v>34</v>
      </c>
      <c r="Z27" s="12" t="s">
        <v>34</v>
      </c>
      <c r="AA27" s="12" t="s">
        <v>34</v>
      </c>
      <c r="AB27" s="11" t="s">
        <v>34</v>
      </c>
      <c r="AC27" s="11" t="s">
        <v>34</v>
      </c>
      <c r="AD27" s="12" t="s">
        <v>34</v>
      </c>
      <c r="AE27" s="12" t="s">
        <v>34</v>
      </c>
    </row>
    <row r="28" ht="16" customHeight="1" spans="1:31" x14ac:dyDescent="0.25">
      <c r="A28" s="5" t="s">
        <v>34</v>
      </c>
      <c r="B28" s="13" t="s">
        <v>59</v>
      </c>
      <c r="C28" s="7" t="s">
        <v>33</v>
      </c>
      <c r="D28" s="8">
        <v>46104.95833333333</v>
      </c>
      <c r="E28" s="8">
        <f>=IFERROR(WORKDAY(D28,ROUNDUP(F28,0)-1),D28)</f>
        <v>46104.95833333333</v>
      </c>
      <c r="F28" s="9">
        <v>1.27</v>
      </c>
      <c r="G28" s="10">
        <v>0</v>
      </c>
      <c r="H28" s="11" t="s">
        <v>34</v>
      </c>
      <c r="I28" s="12" t="s">
        <v>34</v>
      </c>
      <c r="J28" s="12" t="s">
        <v>34</v>
      </c>
      <c r="K28" s="12" t="s">
        <v>34</v>
      </c>
      <c r="L28" s="12" t="s">
        <v>34</v>
      </c>
      <c r="M28" s="12" t="s">
        <v>34</v>
      </c>
      <c r="N28" s="11" t="s">
        <v>34</v>
      </c>
      <c r="O28" s="11" t="s">
        <v>34</v>
      </c>
      <c r="P28" s="12" t="s">
        <v>34</v>
      </c>
      <c r="Q28" s="12" t="s">
        <v>34</v>
      </c>
      <c r="R28" s="12" t="s">
        <v>34</v>
      </c>
      <c r="S28" s="12" t="s">
        <v>34</v>
      </c>
      <c r="T28" s="12" t="s">
        <v>34</v>
      </c>
      <c r="U28" s="11" t="s">
        <v>34</v>
      </c>
      <c r="V28" s="11" t="s">
        <v>34</v>
      </c>
      <c r="W28" s="12" t="s">
        <v>34</v>
      </c>
      <c r="X28" s="12" t="s">
        <v>34</v>
      </c>
      <c r="Y28" s="12" t="s">
        <v>34</v>
      </c>
      <c r="Z28" s="12" t="s">
        <v>34</v>
      </c>
      <c r="AA28" s="12" t="s">
        <v>34</v>
      </c>
      <c r="AB28" s="11" t="s">
        <v>34</v>
      </c>
      <c r="AC28" s="11" t="s">
        <v>34</v>
      </c>
      <c r="AD28" s="12" t="s">
        <v>34</v>
      </c>
      <c r="AE28" s="12" t="s">
        <v>34</v>
      </c>
    </row>
    <row r="31" ht="16" customHeight="1" spans="1:1" x14ac:dyDescent="0.25">
      <c r="A31" s="14" t="s">
        <v>60</v>
      </c>
    </row>
    <row r="32" ht="16" customHeight="1" spans="1:1" x14ac:dyDescent="0.25">
      <c r="A32" s="15" t="s">
        <v>61</v>
      </c>
    </row>
    <row r="33" ht="16" customHeight="1" spans="1:1" x14ac:dyDescent="0.25">
      <c r="A33" s="16" t="s">
        <v>62</v>
      </c>
    </row>
    <row r="34" ht="16" customHeight="1" spans="1:1" x14ac:dyDescent="0.25">
      <c r="A34" s="17" t="s">
        <v>63</v>
      </c>
    </row>
    <row r="35" ht="16" customHeight="1" spans="1:1" x14ac:dyDescent="0.25">
      <c r="A35" s="18" t="s">
        <v>64</v>
      </c>
    </row>
    <row r="36" ht="16" customHeight="1" spans="1:1" x14ac:dyDescent="0.25">
      <c r="A36" s="19" t="s">
        <v>65</v>
      </c>
    </row>
    <row r="37" ht="16" customHeight="1" spans="1:1" x14ac:dyDescent="0.25">
      <c r="A37" s="20" t="s">
        <v>66</v>
      </c>
    </row>
  </sheetData>
  <mergeCells count="2">
    <mergeCell ref="A1:G1"/>
    <mergeCell ref="H1:AE1"/>
  </mergeCells>
  <conditionalFormatting sqref="I3"/>
  <conditionalFormatting sqref="J3"/>
  <conditionalFormatting sqref="K3"/>
  <conditionalFormatting sqref="L3"/>
  <conditionalFormatting sqref="M3"/>
  <conditionalFormatting sqref="P3"/>
  <conditionalFormatting sqref="Q3"/>
  <conditionalFormatting sqref="R3"/>
  <conditionalFormatting sqref="S3"/>
  <conditionalFormatting sqref="T3"/>
  <conditionalFormatting sqref="W3"/>
  <conditionalFormatting sqref="X3"/>
  <conditionalFormatting sqref="Y3"/>
  <conditionalFormatting sqref="Z3"/>
  <conditionalFormatting sqref="[3"/>
  <conditionalFormatting sqref="^3"/>
  <conditionalFormatting sqref="_3"/>
  <conditionalFormatting sqref="I6"/>
  <conditionalFormatting sqref="J6"/>
  <conditionalFormatting sqref="K6"/>
  <conditionalFormatting sqref="L6"/>
  <conditionalFormatting sqref="M6"/>
  <conditionalFormatting sqref="P6"/>
  <conditionalFormatting sqref="Q6"/>
  <conditionalFormatting sqref="R6"/>
  <conditionalFormatting sqref="S6"/>
  <conditionalFormatting sqref="T6"/>
  <conditionalFormatting sqref="W6"/>
  <conditionalFormatting sqref="X6"/>
  <conditionalFormatting sqref="Y6"/>
  <conditionalFormatting sqref="Z6"/>
  <conditionalFormatting sqref="[6"/>
  <conditionalFormatting sqref="^6"/>
  <conditionalFormatting sqref="_6"/>
  <conditionalFormatting sqref="I11"/>
  <conditionalFormatting sqref="J11"/>
  <conditionalFormatting sqref="K11"/>
  <conditionalFormatting sqref="L11"/>
  <conditionalFormatting sqref="M11"/>
  <conditionalFormatting sqref="P11"/>
  <conditionalFormatting sqref="Q11"/>
  <conditionalFormatting sqref="R11"/>
  <conditionalFormatting sqref="S11"/>
  <conditionalFormatting sqref="T11"/>
  <conditionalFormatting sqref="W11"/>
  <conditionalFormatting sqref="X11"/>
  <conditionalFormatting sqref="Y11"/>
  <conditionalFormatting sqref="Z11"/>
  <conditionalFormatting sqref="[11"/>
  <conditionalFormatting sqref="^11"/>
  <conditionalFormatting sqref="_11"/>
  <conditionalFormatting sqref="I15"/>
  <conditionalFormatting sqref="J15"/>
  <conditionalFormatting sqref="K15"/>
  <conditionalFormatting sqref="L15"/>
  <conditionalFormatting sqref="M15"/>
  <conditionalFormatting sqref="P15"/>
  <conditionalFormatting sqref="Q15"/>
  <conditionalFormatting sqref="R15"/>
  <conditionalFormatting sqref="S15"/>
  <conditionalFormatting sqref="T15"/>
  <conditionalFormatting sqref="W15"/>
  <conditionalFormatting sqref="X15"/>
  <conditionalFormatting sqref="Y15"/>
  <conditionalFormatting sqref="Z15"/>
  <conditionalFormatting sqref="[15"/>
  <conditionalFormatting sqref="^15"/>
  <conditionalFormatting sqref="_15"/>
  <conditionalFormatting sqref="I18"/>
  <conditionalFormatting sqref="J18"/>
  <conditionalFormatting sqref="K18"/>
  <conditionalFormatting sqref="L18"/>
  <conditionalFormatting sqref="M18"/>
  <conditionalFormatting sqref="P18"/>
  <conditionalFormatting sqref="Q18"/>
  <conditionalFormatting sqref="R18"/>
  <conditionalFormatting sqref="S18"/>
  <conditionalFormatting sqref="T18"/>
  <conditionalFormatting sqref="W18"/>
  <conditionalFormatting sqref="X18"/>
  <conditionalFormatting sqref="Y18"/>
  <conditionalFormatting sqref="Z18"/>
  <conditionalFormatting sqref="[18"/>
  <conditionalFormatting sqref="^18"/>
  <conditionalFormatting sqref="_18"/>
  <conditionalFormatting sqref="I21"/>
  <conditionalFormatting sqref="J21"/>
  <conditionalFormatting sqref="K21"/>
  <conditionalFormatting sqref="L21"/>
  <conditionalFormatting sqref="M21"/>
  <conditionalFormatting sqref="P21"/>
  <conditionalFormatting sqref="Q21"/>
  <conditionalFormatting sqref="R21"/>
  <conditionalFormatting sqref="S21"/>
  <conditionalFormatting sqref="T21"/>
  <conditionalFormatting sqref="W21"/>
  <conditionalFormatting sqref="X21"/>
  <conditionalFormatting sqref="Y21"/>
  <conditionalFormatting sqref="Z21"/>
  <conditionalFormatting sqref="[21"/>
  <conditionalFormatting sqref="^21"/>
  <conditionalFormatting sqref="_21"/>
  <conditionalFormatting sqref="I24"/>
  <conditionalFormatting sqref="J24"/>
  <conditionalFormatting sqref="K24"/>
  <conditionalFormatting sqref="L24"/>
  <conditionalFormatting sqref="M24"/>
  <conditionalFormatting sqref="P24"/>
  <conditionalFormatting sqref="Q24"/>
  <conditionalFormatting sqref="R24"/>
  <conditionalFormatting sqref="S24"/>
  <conditionalFormatting sqref="T24"/>
  <conditionalFormatting sqref="W24"/>
  <conditionalFormatting sqref="X24"/>
  <conditionalFormatting sqref="Y24"/>
  <conditionalFormatting sqref="Z24"/>
  <conditionalFormatting sqref="[24"/>
  <conditionalFormatting sqref="^24"/>
  <conditionalFormatting sqref="_24"/>
  <conditionalFormatting sqref="I27"/>
  <conditionalFormatting sqref="J27"/>
  <conditionalFormatting sqref="K27"/>
  <conditionalFormatting sqref="L27"/>
  <conditionalFormatting sqref="M27"/>
  <conditionalFormatting sqref="P27"/>
  <conditionalFormatting sqref="Q27"/>
  <conditionalFormatting sqref="R27"/>
  <conditionalFormatting sqref="S27"/>
  <conditionalFormatting sqref="T27"/>
  <conditionalFormatting sqref="W27"/>
  <conditionalFormatting sqref="X27"/>
  <conditionalFormatting sqref="Y27"/>
  <conditionalFormatting sqref="Z27"/>
  <conditionalFormatting sqref="[27"/>
  <conditionalFormatting sqref="^27"/>
  <conditionalFormatting sqref="_2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2026-06-05T17:53:44Z</dcterms:created>
  <dcterms:modified xsi:type="dcterms:W3CDTF">2026-06-05T17:53:44Z</dcterms:modified>
</cp:coreProperties>
</file>