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noneuropenv.sharepoint.com/teams/CIMS2.0/Shared Documents/General/General CIMS/Servicios Profesionales/Plantillas/"/>
    </mc:Choice>
  </mc:AlternateContent>
  <xr:revisionPtr revIDLastSave="679" documentId="8_{1F158FD2-CCCA-4500-92A4-D4C2A10B78B0}" xr6:coauthVersionLast="47" xr6:coauthVersionMax="47" xr10:uidLastSave="{EA2F0D17-2A67-4D67-BAB2-7FBC0ECE98C1}"/>
  <bookViews>
    <workbookView xWindow="-108" yWindow="-108" windowWidth="23256" windowHeight="12456" tabRatio="592" firstSheet="1" activeTab="1" xr2:uid="{00000000-000D-0000-FFFF-FFFF00000000}"/>
  </bookViews>
  <sheets>
    <sheet name="Referencias" sheetId="9" state="hidden" r:id="rId1"/>
    <sheet name="Valoración IM" sheetId="17" r:id="rId2"/>
  </sheets>
  <externalReferences>
    <externalReference r:id="rId3"/>
    <externalReference r:id="rId4"/>
  </externalReferences>
  <definedNames>
    <definedName name="_xlnm._FilterDatabase" localSheetId="0" hidden="1">'Referencias'!$A$2:$E$2</definedName>
    <definedName name="Actual_FX_USDtoAUD">[1]Conversions!$B$7</definedName>
    <definedName name="Actual_FX_USDtoCAD">[1]Conversions!$B$8</definedName>
    <definedName name="Actual_FX_USDtoCHF">[1]Conversions!$B$9</definedName>
    <definedName name="Actual_FX_USDtoDKK">[1]Conversions!$B$14</definedName>
    <definedName name="Actual_FX_USDtoEUR">[1]Conversions!$B$10</definedName>
    <definedName name="Actual_FX_USDtoGBP">[1]Conversions!$B$11</definedName>
    <definedName name="Actual_FX_USDtoINT">[2]Conversions!#REF!</definedName>
    <definedName name="Actual_FX_USDtoJPY">[1]Conversions!$B$12</definedName>
    <definedName name="Actual_FX_USDtoSEK">[1]Conversions!$B$13</definedName>
    <definedName name="_xlnm.Print_Area" localSheetId="1">'Valoración IM'!$A$1:$AB$47</definedName>
    <definedName name="Brazil_Discount_Factor">[1]Conversions!$E$50</definedName>
    <definedName name="Brazil_FX_Rate">[1]Conversions!$H$50</definedName>
    <definedName name="China_Discount_Factor">[1]Conversions!$E$73</definedName>
    <definedName name="China_FX_Rate">[1]Conversions!$H$73</definedName>
    <definedName name="Hong_Kong_Discount_Factor">[1]Conversions!$E$80</definedName>
    <definedName name="Hong_Kong_FX_Rate">[1]Conversions!$H$80</definedName>
    <definedName name="India_Discount_Factor">[1]Conversions!$E$77</definedName>
    <definedName name="India_FX_Rate">[1]Conversions!$H$77</definedName>
    <definedName name="Indonesia_Discount_Factor">[1]Conversions!$E$78</definedName>
    <definedName name="Indonesia_FX_Rate">[1]Conversions!$H$78</definedName>
    <definedName name="International_USD_Percent">[2]Conversions!#REF!</definedName>
    <definedName name="Kofax_AP_Agility">[1]FPA!#REF!</definedName>
    <definedName name="Kofax_Invoice_Processing_Solution">[1]FPA!#REF!</definedName>
    <definedName name="Kofax_Invoice_Processing_Solution_bundle_offering">[1]FPA!#REF!</definedName>
    <definedName name="Kofax_IP_Agility">[1]FPA!#REF!</definedName>
    <definedName name="Kofax_TotalAgility_Cloud_offerings">'[1]Cloud Hosted Services'!#REF!</definedName>
    <definedName name="Malaysia_Discount_Factor">[1]Conversions!$E$85</definedName>
    <definedName name="Malaysia_FX_Rate">[1]Conversions!$H$85</definedName>
    <definedName name="MobileDepositCapture_QTY">'[1]Multi-channel Capture'!#REF!</definedName>
    <definedName name="MobileID_QTY">'[1]Multi-channel Capture'!$C$257</definedName>
    <definedName name="MobileIDFAddon_QTY">'[1]Multi-channel Capture'!#REF!</definedName>
    <definedName name="MobileIDFBundle_QTY">'[1]Multi-channel Capture'!#REF!</definedName>
    <definedName name="MobileIDVAddon_QTY">'[1]Multi-channel Capture'!#REF!</definedName>
    <definedName name="MobileIDVBundle_QTY">'[1]Multi-channel Capture'!#REF!</definedName>
    <definedName name="MobileSDK_QTY">'[1]Multi-channel Capture'!$C$219</definedName>
    <definedName name="MobileSDKBundle_QTY">'[1]Multi-channel Capture'!$C$229</definedName>
    <definedName name="New_Zealand_Discount_Factor">[1]Conversions!$E$56</definedName>
    <definedName name="New_Zealand_FX_Rate">[1]Conversions!$H$56</definedName>
    <definedName name="Norway_Discount_Factor">[1]Conversions!$E$46</definedName>
    <definedName name="Norway_FX_Rate">[1]Conversions!$H$46</definedName>
    <definedName name="On_Premise_Year3_Price">'[1]On Premise Term Model'!$D$10</definedName>
    <definedName name="Perpetual_OnPremise_License_Price">#REF!</definedName>
    <definedName name="Perpetual_to_On_Premise_Term_Pricing_Calculator">#REF!</definedName>
    <definedName name="Philippines_Discount_Factor">[1]Conversions!$E$79</definedName>
    <definedName name="Philippines_FX_Rate">[1]Conversions!$H$79</definedName>
    <definedName name="PR_Qty">'[1]Kofax RPA'!$C$42</definedName>
    <definedName name="ReadSoft_FORMS_offerings">[1]Transformation!#REF!</definedName>
    <definedName name="RSO_Offerings">'[1]Cloud Hosted Services'!#REF!</definedName>
    <definedName name="Singapore_Discount_Factor">[1]Conversions!$E$58</definedName>
    <definedName name="Singapore_FX_Rate">[1]Conversions!$H$58</definedName>
    <definedName name="South_Africa_FX_Rate">[1]Conversions!$H$82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4" i="17" l="1"/>
  <c r="W13" i="17"/>
  <c r="W12" i="17"/>
  <c r="W11" i="17"/>
  <c r="T16" i="17"/>
  <c r="F16" i="17"/>
  <c r="C21" i="9"/>
  <c r="C22" i="9"/>
  <c r="C20" i="9"/>
  <c r="C28" i="9"/>
  <c r="C27" i="9"/>
  <c r="C29" i="9"/>
  <c r="C26" i="9"/>
  <c r="C36" i="9"/>
  <c r="C37" i="9"/>
  <c r="C38" i="9"/>
  <c r="C33" i="9"/>
  <c r="C34" i="9"/>
  <c r="C35" i="9"/>
  <c r="C30" i="9"/>
  <c r="C31" i="9"/>
  <c r="C32" i="9"/>
  <c r="C5" i="9"/>
  <c r="C18" i="9"/>
  <c r="C24" i="9"/>
  <c r="C23" i="9"/>
  <c r="C25" i="9"/>
  <c r="C14" i="9"/>
  <c r="C15" i="9"/>
  <c r="C17" i="9"/>
  <c r="C16" i="9"/>
  <c r="C13" i="9"/>
  <c r="C7" i="9"/>
  <c r="C12" i="9"/>
  <c r="C10" i="9"/>
  <c r="C4" i="9"/>
  <c r="C11" i="9"/>
  <c r="C19" i="9"/>
  <c r="C6" i="9"/>
  <c r="C8" i="9"/>
  <c r="C9" i="9"/>
  <c r="C3" i="9"/>
  <c r="W16" i="17" l="1"/>
  <c r="F20" i="17" s="1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27" i="17"/>
  <c r="P27" i="17" l="1"/>
  <c r="P32" i="17" l="1"/>
  <c r="S32" i="17" s="1"/>
  <c r="Y32" i="17"/>
  <c r="P33" i="17"/>
  <c r="S33" i="17" s="1"/>
  <c r="Y33" i="17"/>
  <c r="Y28" i="17" l="1"/>
  <c r="Y29" i="17"/>
  <c r="Y30" i="17"/>
  <c r="Y31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P28" i="17"/>
  <c r="S28" i="17" s="1"/>
  <c r="P29" i="17"/>
  <c r="S29" i="17" s="1"/>
  <c r="P30" i="17"/>
  <c r="S30" i="17" s="1"/>
  <c r="P31" i="17"/>
  <c r="S31" i="17" s="1"/>
  <c r="P34" i="17"/>
  <c r="S34" i="17" s="1"/>
  <c r="P35" i="17"/>
  <c r="S35" i="17" s="1"/>
  <c r="P36" i="17"/>
  <c r="S36" i="17" s="1"/>
  <c r="P37" i="17"/>
  <c r="S37" i="17" s="1"/>
  <c r="P38" i="17"/>
  <c r="S38" i="17" s="1"/>
  <c r="P39" i="17"/>
  <c r="S39" i="17" s="1"/>
  <c r="P40" i="17"/>
  <c r="S40" i="17" s="1"/>
  <c r="P41" i="17"/>
  <c r="S41" i="17" s="1"/>
  <c r="P42" i="17"/>
  <c r="S42" i="17" s="1"/>
  <c r="P43" i="17"/>
  <c r="S43" i="17" s="1"/>
  <c r="P44" i="17"/>
  <c r="S44" i="17" s="1"/>
  <c r="P45" i="17"/>
  <c r="S45" i="17" s="1"/>
  <c r="S27" i="17" l="1"/>
  <c r="P19" i="17" s="1"/>
  <c r="F19" i="17" l="1"/>
  <c r="Y27" i="17" l="1"/>
  <c r="V19" i="17" s="1"/>
  <c r="P22" i="17" s="1"/>
  <c r="F21" i="17" s="1"/>
  <c r="F22" i="17" l="1"/>
</calcChain>
</file>

<file path=xl/sharedStrings.xml><?xml version="1.0" encoding="utf-8"?>
<sst xmlns="http://schemas.openxmlformats.org/spreadsheetml/2006/main" count="177" uniqueCount="118">
  <si>
    <t>SFDC OPP</t>
  </si>
  <si>
    <t>DEAL SUPPORT</t>
  </si>
  <si>
    <t>FECHA</t>
  </si>
  <si>
    <t>A.M.</t>
  </si>
  <si>
    <t>CLIENTE</t>
  </si>
  <si>
    <t>Importe Total</t>
  </si>
  <si>
    <t>Meses</t>
  </si>
  <si>
    <t>Servicios</t>
  </si>
  <si>
    <t>CUOTA</t>
  </si>
  <si>
    <t>Therefore Online</t>
  </si>
  <si>
    <t>/ Mes</t>
  </si>
  <si>
    <t>La cuota mensual incluye Software Assurance durante la vigencia del contrato</t>
  </si>
  <si>
    <t>SERVICIOS</t>
  </si>
  <si>
    <t>739ZZ051</t>
  </si>
  <si>
    <t>Consultoría</t>
  </si>
  <si>
    <t>739ZZ049</t>
  </si>
  <si>
    <t>Implementación</t>
  </si>
  <si>
    <t>Formación</t>
  </si>
  <si>
    <t>Gestión Proyecto</t>
  </si>
  <si>
    <t>DETALLE SOLUCIONES | PRODUCTO</t>
  </si>
  <si>
    <t>Clase</t>
  </si>
  <si>
    <t>Código</t>
  </si>
  <si>
    <t>Concepto</t>
  </si>
  <si>
    <t>Unidad</t>
  </si>
  <si>
    <t>PVP</t>
  </si>
  <si>
    <t>PVP Total</t>
  </si>
  <si>
    <t>Descripción Oracle</t>
  </si>
  <si>
    <t>Unidades</t>
  </si>
  <si>
    <t>LICENCIAS</t>
  </si>
  <si>
    <t>610ZZ440</t>
  </si>
  <si>
    <t>610ZZ441</t>
  </si>
  <si>
    <t>661ZZ456</t>
  </si>
  <si>
    <t>661ZZ459</t>
  </si>
  <si>
    <t>661ZZ458</t>
  </si>
  <si>
    <t>661ZZ455</t>
  </si>
  <si>
    <t>661ZZ453</t>
  </si>
  <si>
    <t>661ZZ454</t>
  </si>
  <si>
    <t>661ZZ457</t>
  </si>
  <si>
    <t>661ZZ465</t>
  </si>
  <si>
    <t>661ZZ463</t>
  </si>
  <si>
    <t>661ZZ464</t>
  </si>
  <si>
    <t>661ZZ462</t>
  </si>
  <si>
    <t>761ZZ914</t>
  </si>
  <si>
    <t>761ZZ913</t>
  </si>
  <si>
    <t>793ZZ536</t>
  </si>
  <si>
    <t>1505V136</t>
  </si>
  <si>
    <t>586ZZ085</t>
  </si>
  <si>
    <t>1505V135</t>
  </si>
  <si>
    <t>1505V137</t>
  </si>
  <si>
    <t>CSS PVP</t>
  </si>
  <si>
    <t>PVP Jornada</t>
  </si>
  <si>
    <t>Meses Contrato</t>
  </si>
  <si>
    <t>Oficina de Proyecto</t>
  </si>
  <si>
    <t>739ZZ047</t>
  </si>
  <si>
    <t>909ZZ934</t>
  </si>
  <si>
    <t>909ZZ935</t>
  </si>
  <si>
    <t>909ZZ937</t>
  </si>
  <si>
    <t>909ZZ938</t>
  </si>
  <si>
    <t>Docuten</t>
  </si>
  <si>
    <t>Tech Partners</t>
  </si>
  <si>
    <t>TECH PARTNERS</t>
  </si>
  <si>
    <t>IO Digital X</t>
  </si>
  <si>
    <t>Ivnosys</t>
  </si>
  <si>
    <t>Doceo Software</t>
  </si>
  <si>
    <t>Otros</t>
  </si>
  <si>
    <t>THE.ON STORAGE X 10GB</t>
  </si>
  <si>
    <t>THE.ON STORAGE X 1TB</t>
  </si>
  <si>
    <t>747ZZ295</t>
  </si>
  <si>
    <t>THE.ON USER READ ONLY</t>
  </si>
  <si>
    <t>THE.ON USER NAMED</t>
  </si>
  <si>
    <t>THE.ON USER CONCURRENT</t>
  </si>
  <si>
    <t>THE.ON CAPTURE</t>
  </si>
  <si>
    <t>THE.ON MFP</t>
  </si>
  <si>
    <t>THE.ON SMARTCAPTURE 100'S</t>
  </si>
  <si>
    <t>THE.ON SMARTCAPTURE 1000'S</t>
  </si>
  <si>
    <t>THE.ON SMARTCAPTURE 10K S</t>
  </si>
  <si>
    <t>661ZZ460</t>
  </si>
  <si>
    <t>THE.ON BUS CENTRAL CON</t>
  </si>
  <si>
    <t>THE.ON PORTAL</t>
  </si>
  <si>
    <t>909ZZ936</t>
  </si>
  <si>
    <t>927ZZ513</t>
  </si>
  <si>
    <t>911ZZ193</t>
  </si>
  <si>
    <t>0019Z567</t>
  </si>
  <si>
    <t>THE.ON</t>
  </si>
  <si>
    <t>THE.ON AZURE FUNCTION</t>
  </si>
  <si>
    <t>THE.ON STORAGE X 100GB</t>
  </si>
  <si>
    <t>THE.ON CONNECTOR CONTENT</t>
  </si>
  <si>
    <t>THE.ON CONNECTOR KOFAX</t>
  </si>
  <si>
    <t>THE.ON CONNECTOR SAP</t>
  </si>
  <si>
    <t>THE.ON CONNECTOR SHAREPOINT</t>
  </si>
  <si>
    <t>THE.ON CONNECTOR UNIVERSAL</t>
  </si>
  <si>
    <t>THE.ON CONNECTOR AZURE DI</t>
  </si>
  <si>
    <t>THE.ON CONNECTOR COPILOT</t>
  </si>
  <si>
    <t>THE.ON DOCUMENT CLASSIFICATION 100</t>
  </si>
  <si>
    <t>THE.ON DOCUMENT CLASSIFICATION 1000</t>
  </si>
  <si>
    <t>THE.ON DOCUMENT CLASSIFICATION 100K S</t>
  </si>
  <si>
    <t>THE.ON DOCUMENT CLASSIFICATION 10K S</t>
  </si>
  <si>
    <t>THE.ON SERVICE CUSTOMISATION UNIT</t>
  </si>
  <si>
    <t>THE.ON SERVICE RIAS 0.5 DAY</t>
  </si>
  <si>
    <t>THE.ON SERVICE RIAS 1 DAY</t>
  </si>
  <si>
    <t>THE.ON SMARTCAPTURE OVER USAGE PAGE</t>
  </si>
  <si>
    <t>739ZZ048</t>
  </si>
  <si>
    <t>Descripción servicio</t>
  </si>
  <si>
    <t>Valoración comercial · complete los campos en crema; los importes calculados se actualizan automáticamente</t>
  </si>
  <si>
    <t>739ZZ052</t>
  </si>
  <si>
    <t>Prueba de Concepto</t>
  </si>
  <si>
    <t>Según cotización Tech Partners</t>
  </si>
  <si>
    <r>
      <t>Configurador Therefore</t>
    </r>
    <r>
      <rPr>
        <b/>
        <sz val="19"/>
        <color rgb="FF262626"/>
        <rFont val="Aptos Narrow"/>
        <family val="2"/>
      </rPr>
      <t>™</t>
    </r>
    <r>
      <rPr>
        <b/>
        <sz val="19"/>
        <color rgb="FF262626"/>
        <rFont val="Aptos"/>
        <family val="2"/>
      </rPr>
      <t xml:space="preserve"> Online</t>
    </r>
  </si>
  <si>
    <t>Total Therefore Online</t>
  </si>
  <si>
    <t>TOTAL TECH PARTNERS</t>
  </si>
  <si>
    <t>TOTAL SERVICIOS</t>
  </si>
  <si>
    <t>Según cotización Servicios Profesionales</t>
  </si>
  <si>
    <t>TOTAL CONTRACT VALUE</t>
  </si>
  <si>
    <t>TOTAL THEREFORE ONLINE</t>
  </si>
  <si>
    <t>THE.ON CONNECTOR eINVOICE</t>
  </si>
  <si>
    <t>Soporte Local</t>
  </si>
  <si>
    <t>Sop. Local Total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</si>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</sst>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  <numFmt numFmtId="165" formatCode="#,##0.00\ &quot;€&quot;;[Red]\-#,##0.00\ &quot;€&quot;;\-\ &quot;€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sz val="8"/>
      <name val="Century Gothic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color rgb="FF0064BE"/>
      <name val="Calibri Light"/>
      <family val="1"/>
      <scheme val="major"/>
    </font>
    <font>
      <u/>
      <sz val="10"/>
      <color theme="10"/>
      <name val="Arial"/>
      <family val="2"/>
    </font>
    <font>
      <b/>
      <sz val="9"/>
      <color rgb="FFFFFFFF"/>
      <name val="Aptos"/>
      <family val="2"/>
    </font>
    <font>
      <sz val="10"/>
      <color rgb="FF262626"/>
      <name val="Aptos"/>
      <family val="2"/>
    </font>
    <font>
      <b/>
      <sz val="10"/>
      <color rgb="FF262626"/>
      <name val="Aptos"/>
      <family val="2"/>
    </font>
    <font>
      <b/>
      <sz val="19"/>
      <color rgb="FF262626"/>
      <name val="Aptos"/>
      <family val="2"/>
    </font>
    <font>
      <i/>
      <sz val="9"/>
      <color rgb="FF666666"/>
      <name val="Aptos"/>
      <family val="2"/>
    </font>
    <font>
      <sz val="9"/>
      <color rgb="FF666666"/>
      <name val="Aptos"/>
      <family val="2"/>
    </font>
    <font>
      <b/>
      <sz val="9"/>
      <color rgb="FF262626"/>
      <name val="Aptos"/>
      <family val="2"/>
    </font>
    <font>
      <b/>
      <sz val="11"/>
      <color rgb="FF262626"/>
      <name val="Aptos"/>
      <family val="2"/>
    </font>
    <font>
      <b/>
      <sz val="10"/>
      <color rgb="FFC8102E"/>
      <name val="Aptos"/>
      <family val="2"/>
    </font>
    <font>
      <b/>
      <sz val="12"/>
      <color rgb="FFC8102E"/>
      <name val="Aptos"/>
      <family val="2"/>
    </font>
    <font>
      <sz val="9"/>
      <color rgb="FF262626"/>
      <name val="Aptos"/>
      <family val="2"/>
    </font>
    <font>
      <b/>
      <sz val="15"/>
      <color rgb="FFC8102E"/>
      <name val="Aptos"/>
      <family val="2"/>
    </font>
    <font>
      <i/>
      <sz val="9"/>
      <color theme="1" tint="0.499984740745262"/>
      <name val="Aptos"/>
      <family val="2"/>
    </font>
    <font>
      <b/>
      <sz val="19"/>
      <color rgb="FF262626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34998626667073579"/>
      </top>
      <bottom style="hair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theme="1" tint="0.34998626667073579"/>
      </top>
      <bottom/>
      <diagonal/>
    </border>
    <border>
      <left/>
      <right/>
      <top/>
      <bottom style="thick">
        <color rgb="FFC8102E"/>
      </bottom>
      <diagonal/>
    </border>
    <border>
      <left/>
      <right/>
      <top/>
      <bottom style="thin">
        <color rgb="FFC8102E"/>
      </bottom>
      <diagonal/>
    </border>
    <border>
      <left/>
      <right/>
      <top/>
      <bottom style="medium">
        <color rgb="FFC8102E"/>
      </bottom>
      <diagonal/>
    </border>
    <border>
      <left/>
      <right/>
      <top style="medium">
        <color rgb="FFC8102E"/>
      </top>
      <bottom/>
      <diagonal/>
    </border>
    <border>
      <left/>
      <right/>
      <top style="medium">
        <color rgb="FFC8102E"/>
      </top>
      <bottom style="hair">
        <color theme="1" tint="0.34998626667073579"/>
      </bottom>
      <diagonal/>
    </border>
    <border>
      <left/>
      <right/>
      <top style="medium">
        <color rgb="FFC8102E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medium">
        <color rgb="FFC8102E"/>
      </top>
      <bottom style="hair">
        <color auto="1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/>
      <right/>
      <top style="hair">
        <color auto="1"/>
      </top>
      <bottom style="medium">
        <color rgb="FFC8102E"/>
      </bottom>
      <diagonal/>
    </border>
    <border>
      <left/>
      <right/>
      <top/>
      <bottom style="medium">
        <color rgb="FFC00000"/>
      </bottom>
      <diagonal/>
    </border>
    <border>
      <left/>
      <right/>
      <top style="medium">
        <color rgb="FFC8102E"/>
      </top>
      <bottom style="hair">
        <color theme="1"/>
      </bottom>
      <diagonal/>
    </border>
    <border>
      <left/>
      <right/>
      <top style="medium">
        <color rgb="FFC00000"/>
      </top>
      <bottom style="hair">
        <color theme="1" tint="0.34998626667073579"/>
      </bottom>
      <diagonal/>
    </border>
    <border>
      <left/>
      <right/>
      <top style="medium">
        <color rgb="FFC00000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medium">
        <color rgb="FFC8102E"/>
      </bottom>
      <diagonal/>
    </border>
    <border>
      <left/>
      <right/>
      <top style="medium">
        <color rgb="FFC00000"/>
      </top>
      <bottom style="hair">
        <color theme="1"/>
      </bottom>
      <diagonal/>
    </border>
    <border>
      <left/>
      <right/>
      <top style="hair">
        <color rgb="FFD9D9D9"/>
      </top>
      <bottom style="medium">
        <color rgb="FFC00000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6" fillId="0" borderId="0">
      <alignment vertical="top"/>
    </xf>
    <xf numFmtId="3" fontId="7" fillId="0" borderId="3">
      <alignment horizontal="left" vertical="center" wrapText="1"/>
    </xf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" fillId="0" borderId="0"/>
    <xf numFmtId="0" fontId="8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44" fontId="2" fillId="0" borderId="0" xfId="1" applyFont="1" applyFill="1" applyAlignment="1" applyProtection="1">
      <alignment wrapText="1"/>
    </xf>
    <xf numFmtId="0" fontId="19" fillId="4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44" fontId="19" fillId="4" borderId="0" xfId="0" applyNumberFormat="1" applyFont="1" applyFill="1" applyAlignment="1">
      <alignment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44" fontId="9" fillId="6" borderId="0" xfId="1" applyFont="1" applyFill="1" applyAlignment="1" applyProtection="1">
      <alignment horizontal="center" vertical="center" wrapText="1"/>
    </xf>
    <xf numFmtId="0" fontId="19" fillId="4" borderId="14" xfId="0" applyFont="1" applyFill="1" applyBorder="1" applyAlignment="1">
      <alignment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vertical="center"/>
    </xf>
    <xf numFmtId="0" fontId="19" fillId="4" borderId="12" xfId="0" applyFont="1" applyFill="1" applyBorder="1" applyAlignment="1">
      <alignment vertical="center"/>
    </xf>
    <xf numFmtId="0" fontId="19" fillId="4" borderId="15" xfId="0" applyFont="1" applyFill="1" applyBorder="1" applyAlignment="1">
      <alignment vertical="center"/>
    </xf>
    <xf numFmtId="165" fontId="19" fillId="5" borderId="14" xfId="1" applyNumberFormat="1" applyFont="1" applyFill="1" applyBorder="1" applyAlignment="1" applyProtection="1">
      <alignment vertical="center" wrapText="1"/>
    </xf>
    <xf numFmtId="165" fontId="19" fillId="5" borderId="12" xfId="1" applyNumberFormat="1" applyFont="1" applyFill="1" applyBorder="1" applyAlignment="1" applyProtection="1">
      <alignment vertical="center" wrapText="1"/>
    </xf>
    <xf numFmtId="165" fontId="19" fillId="5" borderId="15" xfId="1" applyNumberFormat="1" applyFont="1" applyFill="1" applyBorder="1" applyAlignment="1" applyProtection="1">
      <alignment vertical="center" wrapText="1"/>
    </xf>
    <xf numFmtId="165" fontId="19" fillId="5" borderId="14" xfId="1" applyNumberFormat="1" applyFont="1" applyFill="1" applyBorder="1" applyAlignment="1">
      <alignment vertical="center" wrapText="1"/>
    </xf>
    <xf numFmtId="165" fontId="19" fillId="5" borderId="12" xfId="1" applyNumberFormat="1" applyFont="1" applyFill="1" applyBorder="1" applyAlignment="1">
      <alignment vertical="center" wrapText="1"/>
    </xf>
    <xf numFmtId="165" fontId="19" fillId="5" borderId="15" xfId="1" applyNumberFormat="1" applyFont="1" applyFill="1" applyBorder="1" applyAlignment="1">
      <alignment vertical="center" wrapText="1"/>
    </xf>
    <xf numFmtId="165" fontId="10" fillId="0" borderId="9" xfId="1" applyNumberFormat="1" applyFont="1" applyFill="1" applyBorder="1" applyAlignment="1" applyProtection="1">
      <alignment vertical="center"/>
    </xf>
    <xf numFmtId="165" fontId="10" fillId="0" borderId="0" xfId="1" applyNumberFormat="1" applyFont="1" applyFill="1" applyBorder="1" applyAlignment="1" applyProtection="1">
      <alignment vertical="center"/>
    </xf>
    <xf numFmtId="165" fontId="10" fillId="0" borderId="8" xfId="1" applyNumberFormat="1" applyFont="1" applyFill="1" applyBorder="1" applyAlignment="1" applyProtection="1">
      <alignment vertical="center"/>
    </xf>
    <xf numFmtId="44" fontId="17" fillId="0" borderId="9" xfId="1" applyFont="1" applyFill="1" applyBorder="1" applyAlignment="1" applyProtection="1">
      <alignment vertical="center"/>
    </xf>
    <xf numFmtId="44" fontId="10" fillId="0" borderId="0" xfId="1" applyFont="1" applyFill="1" applyBorder="1" applyAlignment="1" applyProtection="1">
      <alignment vertical="center"/>
    </xf>
    <xf numFmtId="44" fontId="11" fillId="0" borderId="10" xfId="1" applyFont="1" applyFill="1" applyBorder="1" applyAlignment="1" applyProtection="1">
      <alignment vertical="center"/>
    </xf>
    <xf numFmtId="44" fontId="10" fillId="0" borderId="9" xfId="1" applyFont="1" applyFill="1" applyBorder="1" applyAlignment="1" applyProtection="1">
      <alignment vertical="center"/>
    </xf>
    <xf numFmtId="44" fontId="11" fillId="0" borderId="10" xfId="1" applyFont="1" applyFill="1" applyBorder="1" applyAlignment="1" applyProtection="1">
      <alignment horizontal="center" vertical="center"/>
    </xf>
    <xf numFmtId="165" fontId="17" fillId="0" borderId="20" xfId="1" applyNumberFormat="1" applyFont="1" applyFill="1" applyBorder="1" applyAlignment="1" applyProtection="1">
      <alignment vertical="center"/>
    </xf>
    <xf numFmtId="0" fontId="10" fillId="0" borderId="0" xfId="0" applyFont="1" applyAlignment="1">
      <alignment vertical="center"/>
    </xf>
    <xf numFmtId="0" fontId="2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44" fontId="10" fillId="0" borderId="0" xfId="0" applyNumberFormat="1" applyFont="1" applyAlignment="1">
      <alignment vertical="center"/>
    </xf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12" fillId="0" borderId="6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6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6" fillId="0" borderId="17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7" fillId="3" borderId="9" xfId="0" applyFont="1" applyFill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2" fillId="0" borderId="20" xfId="0" applyFont="1" applyBorder="1"/>
    <xf numFmtId="0" fontId="10" fillId="0" borderId="20" xfId="0" applyFont="1" applyBorder="1" applyAlignment="1">
      <alignment vertical="center" wrapText="1"/>
    </xf>
    <xf numFmtId="0" fontId="18" fillId="0" borderId="6" xfId="0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1" fontId="10" fillId="2" borderId="12" xfId="0" applyNumberFormat="1" applyFont="1" applyFill="1" applyBorder="1" applyAlignment="1" applyProtection="1">
      <alignment horizontal="center" vertical="center"/>
      <protection locked="0"/>
    </xf>
    <xf numFmtId="0" fontId="10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2" borderId="12" xfId="0" applyFont="1" applyFill="1" applyBorder="1" applyAlignment="1" applyProtection="1">
      <alignment horizontal="left" vertical="center" wrapText="1"/>
      <protection locked="0"/>
    </xf>
    <xf numFmtId="165" fontId="10" fillId="0" borderId="12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2" borderId="11" xfId="0" applyFont="1" applyFill="1" applyBorder="1" applyAlignment="1" applyProtection="1">
      <alignment horizontal="left" vertical="center" wrapText="1"/>
      <protection locked="0"/>
    </xf>
    <xf numFmtId="1" fontId="10" fillId="2" borderId="11" xfId="0" applyNumberFormat="1" applyFont="1" applyFill="1" applyBorder="1" applyAlignment="1" applyProtection="1">
      <alignment horizontal="center" vertical="center"/>
      <protection locked="0"/>
    </xf>
    <xf numFmtId="165" fontId="10" fillId="0" borderId="11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0" fillId="2" borderId="7" xfId="0" applyFont="1" applyFill="1" applyBorder="1" applyAlignment="1" applyProtection="1">
      <alignment horizontal="left" vertical="center"/>
      <protection locked="0"/>
    </xf>
    <xf numFmtId="0" fontId="16" fillId="0" borderId="8" xfId="0" applyFont="1" applyBorder="1" applyAlignment="1">
      <alignment horizontal="center" vertical="center"/>
    </xf>
    <xf numFmtId="165" fontId="10" fillId="2" borderId="1" xfId="1" applyNumberFormat="1" applyFont="1" applyFill="1" applyBorder="1" applyAlignment="1" applyProtection="1">
      <alignment vertical="center"/>
      <protection locked="0"/>
    </xf>
    <xf numFmtId="165" fontId="10" fillId="0" borderId="19" xfId="1" applyNumberFormat="1" applyFont="1" applyFill="1" applyBorder="1" applyAlignment="1" applyProtection="1">
      <alignment horizontal="right" vertical="center"/>
    </xf>
    <xf numFmtId="165" fontId="17" fillId="0" borderId="10" xfId="1" applyNumberFormat="1" applyFont="1" applyFill="1" applyBorder="1" applyAlignment="1" applyProtection="1">
      <alignment vertical="center"/>
    </xf>
    <xf numFmtId="44" fontId="17" fillId="0" borderId="9" xfId="1" applyFont="1" applyFill="1" applyBorder="1" applyAlignment="1" applyProtection="1">
      <alignment horizontal="left" vertical="center"/>
    </xf>
    <xf numFmtId="165" fontId="10" fillId="0" borderId="2" xfId="1" applyNumberFormat="1" applyFont="1" applyFill="1" applyBorder="1" applyAlignment="1" applyProtection="1">
      <alignment horizontal="right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2" borderId="2" xfId="0" applyFont="1" applyFill="1" applyBorder="1" applyAlignment="1" applyProtection="1">
      <alignment horizontal="right" vertical="center"/>
      <protection locked="0"/>
    </xf>
    <xf numFmtId="0" fontId="10" fillId="0" borderId="24" xfId="0" applyFont="1" applyBorder="1" applyAlignment="1">
      <alignment horizontal="left" vertical="center"/>
    </xf>
    <xf numFmtId="0" fontId="10" fillId="0" borderId="24" xfId="0" applyFont="1" applyBorder="1" applyAlignment="1">
      <alignment horizontal="center" vertical="center"/>
    </xf>
    <xf numFmtId="0" fontId="10" fillId="2" borderId="24" xfId="0" applyFont="1" applyFill="1" applyBorder="1" applyAlignment="1" applyProtection="1">
      <alignment horizontal="left" vertical="center" wrapText="1"/>
      <protection locked="0"/>
    </xf>
    <xf numFmtId="1" fontId="10" fillId="2" borderId="24" xfId="0" applyNumberFormat="1" applyFont="1" applyFill="1" applyBorder="1" applyAlignment="1" applyProtection="1">
      <alignment horizontal="center" vertical="center"/>
      <protection locked="0"/>
    </xf>
    <xf numFmtId="165" fontId="10" fillId="0" borderId="24" xfId="0" applyNumberFormat="1" applyFont="1" applyBorder="1" applyAlignment="1">
      <alignment horizontal="right" vertical="center"/>
    </xf>
    <xf numFmtId="165" fontId="10" fillId="2" borderId="2" xfId="1" applyNumberFormat="1" applyFont="1" applyFill="1" applyBorder="1" applyAlignment="1" applyProtection="1">
      <alignment vertical="center"/>
      <protection locked="0"/>
    </xf>
    <xf numFmtId="165" fontId="17" fillId="3" borderId="10" xfId="1" applyNumberFormat="1" applyFont="1" applyFill="1" applyBorder="1" applyAlignment="1" applyProtection="1">
      <alignment horizontal="right" vertical="center"/>
    </xf>
    <xf numFmtId="0" fontId="15" fillId="0" borderId="0" xfId="0" applyFont="1" applyAlignment="1">
      <alignment horizontal="center" vertical="center"/>
    </xf>
    <xf numFmtId="165" fontId="10" fillId="2" borderId="5" xfId="1" applyNumberFormat="1" applyFont="1" applyFill="1" applyBorder="1" applyAlignment="1" applyProtection="1">
      <alignment vertical="center"/>
      <protection locked="0"/>
    </xf>
    <xf numFmtId="165" fontId="17" fillId="0" borderId="10" xfId="1" applyNumberFormat="1" applyFont="1" applyFill="1" applyBorder="1" applyAlignment="1" applyProtection="1">
      <alignment horizontal="right" vertical="center"/>
    </xf>
    <xf numFmtId="1" fontId="17" fillId="0" borderId="18" xfId="1" applyNumberFormat="1" applyFont="1" applyFill="1" applyBorder="1" applyAlignment="1" applyProtection="1">
      <alignment horizontal="center" vertical="center"/>
    </xf>
    <xf numFmtId="165" fontId="10" fillId="0" borderId="10" xfId="1" applyNumberFormat="1" applyFont="1" applyFill="1" applyBorder="1" applyAlignment="1" applyProtection="1">
      <alignment horizontal="right" vertical="center"/>
    </xf>
    <xf numFmtId="165" fontId="10" fillId="0" borderId="18" xfId="1" applyNumberFormat="1" applyFont="1" applyFill="1" applyBorder="1" applyAlignment="1" applyProtection="1">
      <alignment horizontal="right" vertical="center"/>
    </xf>
    <xf numFmtId="0" fontId="11" fillId="0" borderId="2" xfId="0" applyFont="1" applyBorder="1" applyAlignment="1">
      <alignment horizontal="center" vertical="center"/>
    </xf>
    <xf numFmtId="165" fontId="17" fillId="0" borderId="23" xfId="1" applyNumberFormat="1" applyFont="1" applyFill="1" applyBorder="1" applyAlignment="1" applyProtection="1">
      <alignment horizontal="right" vertical="center"/>
    </xf>
    <xf numFmtId="0" fontId="14" fillId="0" borderId="0" xfId="0" applyFont="1" applyAlignment="1">
      <alignment vertical="center"/>
    </xf>
    <xf numFmtId="165" fontId="10" fillId="0" borderId="13" xfId="1" applyNumberFormat="1" applyFont="1" applyFill="1" applyBorder="1" applyAlignment="1" applyProtection="1">
      <alignment horizontal="right" vertical="center"/>
    </xf>
    <xf numFmtId="165" fontId="10" fillId="0" borderId="4" xfId="1" applyNumberFormat="1" applyFont="1" applyFill="1" applyBorder="1" applyAlignment="1" applyProtection="1">
      <alignment horizontal="right" vertical="center"/>
    </xf>
    <xf numFmtId="165" fontId="10" fillId="2" borderId="16" xfId="1" applyNumberFormat="1" applyFont="1" applyFill="1" applyBorder="1" applyAlignment="1" applyProtection="1">
      <alignment horizontal="right" vertical="center"/>
      <protection locked="0"/>
    </xf>
    <xf numFmtId="1" fontId="10" fillId="2" borderId="13" xfId="1" applyNumberFormat="1" applyFont="1" applyFill="1" applyBorder="1" applyAlignment="1" applyProtection="1">
      <alignment horizontal="center" vertical="center"/>
      <protection locked="0"/>
    </xf>
    <xf numFmtId="1" fontId="10" fillId="2" borderId="4" xfId="1" applyNumberFormat="1" applyFont="1" applyFill="1" applyBorder="1" applyAlignment="1" applyProtection="1">
      <alignment horizontal="center" vertical="center"/>
      <protection locked="0"/>
    </xf>
    <xf numFmtId="1" fontId="10" fillId="0" borderId="16" xfId="1" applyNumberFormat="1" applyFont="1" applyFill="1" applyBorder="1" applyAlignment="1" applyProtection="1">
      <alignment horizontal="center" vertical="center"/>
    </xf>
    <xf numFmtId="0" fontId="21" fillId="7" borderId="9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7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14" fontId="10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</cellXfs>
  <cellStyles count="11">
    <cellStyle name="Header" xfId="4" xr:uid="{ED3033F1-D2D8-415A-8A6F-AED576F6E0DD}"/>
    <cellStyle name="Hipervínculo 2" xfId="9" xr:uid="{CD14C05F-CDAA-484E-B6A1-396EEC53B987}"/>
    <cellStyle name="Moneda" xfId="1" builtinId="4"/>
    <cellStyle name="Moneda 2" xfId="10" xr:uid="{090E3DD9-2530-453E-AA26-54D67C597CB7}"/>
    <cellStyle name="Normal" xfId="0" builtinId="0"/>
    <cellStyle name="Normal 12" xfId="5" xr:uid="{69C86F08-69F8-4BF9-8B52-5A2C0CAD2788}"/>
    <cellStyle name="Normal 2" xfId="2" xr:uid="{A4AB597A-7131-48BC-A3C7-F2519B43BAFE}"/>
    <cellStyle name="Normal 2 2 2" xfId="3" xr:uid="{57093EFE-F2BD-41CA-8ECA-E67816FBBF5B}"/>
    <cellStyle name="Normal 4 2 2" xfId="7" xr:uid="{983C543B-0448-4399-8B4E-8A6CB7794AC1}"/>
    <cellStyle name="Normal 4 5 5 4 5 2 2 2 2" xfId="8" xr:uid="{F42BBF5B-C9F0-4092-95BD-EA5ABF528A40}"/>
    <cellStyle name="Porcentaje 2" xfId="6" xr:uid="{0E672282-609E-4281-BE28-53C9A81D5CAD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65" formatCode="#,##0.00\ &quot;€&quot;;[Red]\-#,##0.00\ &quot;€&quot;;\-\ &quot;€&quot;"/>
      <fill>
        <patternFill patternType="solid">
          <fgColor indexed="64"/>
          <bgColor rgb="FFF4F4F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scheme val="none"/>
      </font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65" formatCode="#,##0.00\ &quot;€&quot;;[Red]\-#,##0.00\ &quot;€&quot;;\-\ &quot;€&quot;"/>
      <fill>
        <patternFill patternType="solid">
          <fgColor indexed="64"/>
          <bgColor rgb="FFF4F4F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65" formatCode="#,##0.00\ &quot;€&quot;;[Red]\-#,##0.00\ &quot;€&quot;;\-\ &quot;€&quot;"/>
      <fill>
        <patternFill patternType="solid">
          <fgColor indexed="64"/>
          <bgColor rgb="FFF4F4F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scheme val="none"/>
      </font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  <protection locked="1" hidden="0"/>
    </dxf>
  </dxfs>
  <tableStyles count="1" defaultTableStyle="TableStyleMedium2" defaultPivotStyle="PivotStyleLight16">
    <tableStyle name="Invisible" pivot="0" table="0" count="0" xr9:uid="{561858E1-ED4D-44CD-8CE8-E9DBB6ACEF9F}"/>
  </tableStyles>
  <colors>
    <mruColors>
      <color rgb="FFFFE5E5"/>
      <color rgb="FFFFFFCD"/>
      <color rgb="FFB0F896"/>
      <color rgb="FF6699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26014</xdr:colOff>
      <xdr:row>0</xdr:row>
      <xdr:rowOff>130460</xdr:rowOff>
    </xdr:from>
    <xdr:to>
      <xdr:col>27</xdr:col>
      <xdr:colOff>7073</xdr:colOff>
      <xdr:row>0</xdr:row>
      <xdr:rowOff>333514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4CEDC7-DA2F-40B9-950C-3A653EFF8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9954" y="130460"/>
          <a:ext cx="941179" cy="2030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ersonal/manuel_marquez_canon_es/Documents/Manuel/Listas%20de%20precios/Kofax/KofaxLimitedGlobalPriceList.xlsm" TargetMode="External"/><Relationship Id="rId1" Type="http://schemas.openxmlformats.org/officeDocument/2006/relationships/externalLinkPath" Target="/personal/manuel_marquez_canon_es/Documents/Manuel/Listas%20de%20precios/Kofax/KofaxLimitedGlobalPriceList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ersonal/manuel_marquez_canon_es/Documents/Manuel/Listas%20de%20precios/Kofax/KofaxLimitedProductCalculatorWorkbook_Mayo_2021.xlsx" TargetMode="External"/><Relationship Id="rId1" Type="http://schemas.openxmlformats.org/officeDocument/2006/relationships/externalLinkPath" Target="/personal/manuel_marquez_canon_es/Documents/Manuel/Listas%20de%20precios/Kofax/KofaxLimitedProductCalculatorWorkbook_Mayo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ricing Page"/>
      <sheetName val="Cover"/>
      <sheetName val="Multi-channel Capture"/>
      <sheetName val="Transformation"/>
      <sheetName val="Communications"/>
      <sheetName val="TotalAgility"/>
      <sheetName val="Total Agility Online Calc info"/>
      <sheetName val="FPA"/>
      <sheetName val="FPA System Upgrade Calculators"/>
      <sheetName val="Kofax RPA"/>
      <sheetName val="Process Intelligence"/>
      <sheetName val="eSignature &amp; Fraud Prevention"/>
      <sheetName val="Kofax Cloud pricing calculator"/>
      <sheetName val="iRemit"/>
      <sheetName val="CloudDocs"/>
      <sheetName val="Cloud Hosted Services"/>
      <sheetName val="Cloud Services"/>
      <sheetName val="ReadSoft Online"/>
      <sheetName val="Professional Services- SW Oppty"/>
      <sheetName val="Professional Services-PS Oppty"/>
      <sheetName val="Support"/>
      <sheetName val="Training"/>
      <sheetName val="Partner Program"/>
      <sheetName val="On Premise Term Calculator"/>
      <sheetName val="On Premise Term Model"/>
      <sheetName val="Emerging Markets"/>
      <sheetName val="Terms and Conditions"/>
      <sheetName val="Bundle License Guidelines"/>
      <sheetName val="Royalty Guidelines"/>
      <sheetName val="Conversion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ulti-channel Capture Calc."/>
      <sheetName val="Transformation Calculator"/>
      <sheetName val="SignDoc Calculator - Volume"/>
      <sheetName val="SignDoc Calculator - User"/>
      <sheetName val="FraudOne Calculator(RETIRED)"/>
      <sheetName val="Convers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AA247F-8690-4CCF-870F-9644B6952DA6}" name="Referencias" displayName="Referencias" ref="A2:E38" totalsRowShown="0" headerRowDxfId="10" dataDxfId="9" dataCellStyle="Moneda">
  <autoFilter ref="A2:E38" xr:uid="{B912FA8B-5C36-4DC4-9D4F-D7F77A77D5C4}"/>
  <sortState xmlns:xlrd2="http://schemas.microsoft.com/office/spreadsheetml/2017/richdata2" ref="A3:E38">
    <sortCondition ref="A2:A38"/>
  </sortState>
  <tableColumns count="5">
    <tableColumn id="1" xr3:uid="{5AD12300-E254-488C-836D-AA5CA4AAB63B}" name="Descripción Oracle" dataDxfId="8"/>
    <tableColumn id="3" xr3:uid="{BF726D7F-5E3A-40E5-BA3D-4BDAB8FB60F4}" name="PVP" dataDxfId="7" dataCellStyle="Moneda"/>
    <tableColumn id="9" xr3:uid="{61DB269C-DD9C-4847-902F-263AC49AEA94}" name="CSS PVP" dataDxfId="6" dataCellStyle="Moneda">
      <calculatedColumnFormula>Referencias[[#This Row],[PVP]]*4.5%</calculatedColumnFormula>
    </tableColumn>
    <tableColumn id="6" xr3:uid="{9A33A42F-FB8B-4CD0-BABD-494C5CEE3438}" name="Clase" dataDxfId="5"/>
    <tableColumn id="7" xr3:uid="{ADF0D6F0-CFB4-4319-9582-17527C099B20}" name="Código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CC048A-EFAF-4084-9F8C-F99913B5E3C4}" name="Servicios" displayName="Servicios" ref="G2:H6" totalsRowShown="0" headerRowDxfId="3" dataDxfId="2">
  <autoFilter ref="G2:H6" xr:uid="{4ECC048A-EFAF-4084-9F8C-F99913B5E3C4}"/>
  <tableColumns count="2">
    <tableColumn id="1" xr3:uid="{51423E54-7A41-4BA0-B85B-E1634E05327E}" name="Descripción servicio" dataDxfId="1"/>
    <tableColumn id="6" xr3:uid="{8F8CF676-5F53-49B5-956C-42A13C715FCD}" name="PVP Jornada" dataDxfId="0" dataCellStyle="Mon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C795-E99E-460A-B49A-D9FEA3FDDB0B}">
  <sheetPr>
    <tabColor rgb="FFC8102E"/>
  </sheetPr>
  <dimension ref="A1:H38"/>
  <sheetViews>
    <sheetView showGridLines="0" zoomScale="130" zoomScaleNormal="130" workbookViewId="0">
      <pane ySplit="2" topLeftCell="A3" activePane="bottomLeft" state="frozen"/>
      <selection pane="bottomLeft" activeCell="H7" sqref="H7"/>
    </sheetView>
  </sheetViews>
  <sheetFormatPr baseColWidth="10" defaultColWidth="11.44140625" defaultRowHeight="14.1" customHeight="1" x14ac:dyDescent="0.25"/>
  <cols>
    <col min="1" max="1" width="38" style="1" customWidth="1"/>
    <col min="2" max="3" width="14.44140625" style="4" customWidth="1"/>
    <col min="4" max="5" width="17" style="2" customWidth="1"/>
    <col min="6" max="6" width="3.33203125" style="1" customWidth="1"/>
    <col min="7" max="8" width="16.33203125" style="1" customWidth="1"/>
    <col min="9" max="16384" width="11.44140625" style="1"/>
  </cols>
  <sheetData>
    <row r="1" spans="1:8" s="3" customFormat="1" ht="30" customHeight="1" thickBot="1" x14ac:dyDescent="0.3">
      <c r="A1" s="8" t="s">
        <v>28</v>
      </c>
      <c r="B1" s="8"/>
      <c r="C1" s="8"/>
      <c r="D1" s="8"/>
      <c r="E1" s="8"/>
      <c r="F1" s="5"/>
      <c r="G1" s="9" t="s">
        <v>12</v>
      </c>
      <c r="H1" s="9"/>
    </row>
    <row r="2" spans="1:8" ht="25.95" customHeight="1" thickTop="1" x14ac:dyDescent="0.25">
      <c r="A2" s="10" t="s">
        <v>26</v>
      </c>
      <c r="B2" s="11" t="s">
        <v>24</v>
      </c>
      <c r="C2" s="11" t="s">
        <v>49</v>
      </c>
      <c r="D2" s="10" t="s">
        <v>20</v>
      </c>
      <c r="E2" s="10" t="s">
        <v>21</v>
      </c>
      <c r="F2" s="6"/>
      <c r="G2" s="10" t="s">
        <v>102</v>
      </c>
      <c r="H2" s="10" t="s">
        <v>50</v>
      </c>
    </row>
    <row r="3" spans="1:8" ht="14.1" customHeight="1" x14ac:dyDescent="0.25">
      <c r="A3" s="18" t="s">
        <v>84</v>
      </c>
      <c r="B3" s="21">
        <v>33.700000000000003</v>
      </c>
      <c r="C3" s="21">
        <f>Referencias[[#This Row],[PVP]]*4.5%</f>
        <v>1.5165000000000002</v>
      </c>
      <c r="D3" s="13" t="s">
        <v>83</v>
      </c>
      <c r="E3" s="13" t="s">
        <v>82</v>
      </c>
      <c r="F3" s="6"/>
      <c r="G3" s="12" t="s">
        <v>14</v>
      </c>
      <c r="H3" s="24">
        <v>880</v>
      </c>
    </row>
    <row r="4" spans="1:8" ht="14.1" customHeight="1" x14ac:dyDescent="0.25">
      <c r="A4" s="19" t="s">
        <v>77</v>
      </c>
      <c r="B4" s="22">
        <v>141.1</v>
      </c>
      <c r="C4" s="22">
        <f>Referencias[[#This Row],[PVP]]*4.5%</f>
        <v>6.3494999999999999</v>
      </c>
      <c r="D4" s="15" t="s">
        <v>83</v>
      </c>
      <c r="E4" s="15" t="s">
        <v>39</v>
      </c>
      <c r="F4" s="6"/>
      <c r="G4" s="14" t="s">
        <v>16</v>
      </c>
      <c r="H4" s="25">
        <v>705</v>
      </c>
    </row>
    <row r="5" spans="1:8" ht="14.1" customHeight="1" x14ac:dyDescent="0.25">
      <c r="A5" s="19" t="s">
        <v>71</v>
      </c>
      <c r="B5" s="22">
        <v>33.700000000000003</v>
      </c>
      <c r="C5" s="22">
        <f>Referencias[[#This Row],[PVP]]*4.5%</f>
        <v>1.5165000000000002</v>
      </c>
      <c r="D5" s="15" t="s">
        <v>83</v>
      </c>
      <c r="E5" s="15" t="s">
        <v>31</v>
      </c>
      <c r="F5" s="6"/>
      <c r="G5" s="14" t="s">
        <v>17</v>
      </c>
      <c r="H5" s="25">
        <v>705</v>
      </c>
    </row>
    <row r="6" spans="1:8" ht="14.1" customHeight="1" x14ac:dyDescent="0.25">
      <c r="A6" s="19" t="s">
        <v>91</v>
      </c>
      <c r="B6" s="22">
        <v>33.700000000000003</v>
      </c>
      <c r="C6" s="22">
        <f>Referencias[[#This Row],[PVP]]*4.5%</f>
        <v>1.5165000000000002</v>
      </c>
      <c r="D6" s="15" t="s">
        <v>83</v>
      </c>
      <c r="E6" s="15" t="s">
        <v>79</v>
      </c>
      <c r="F6" s="6"/>
      <c r="G6" s="16" t="s">
        <v>18</v>
      </c>
      <c r="H6" s="26">
        <v>705</v>
      </c>
    </row>
    <row r="7" spans="1:8" ht="14.1" customHeight="1" x14ac:dyDescent="0.25">
      <c r="A7" s="19" t="s">
        <v>86</v>
      </c>
      <c r="B7" s="22">
        <v>74</v>
      </c>
      <c r="C7" s="22">
        <f>Referencias[[#This Row],[PVP]]*4.5%</f>
        <v>3.33</v>
      </c>
      <c r="D7" s="15" t="s">
        <v>83</v>
      </c>
      <c r="E7" s="15" t="s">
        <v>33</v>
      </c>
      <c r="F7" s="6"/>
      <c r="G7" s="6"/>
      <c r="H7" s="6"/>
    </row>
    <row r="8" spans="1:8" ht="14.1" customHeight="1" x14ac:dyDescent="0.25">
      <c r="A8" s="19" t="s">
        <v>92</v>
      </c>
      <c r="B8" s="22">
        <v>70.55</v>
      </c>
      <c r="C8" s="22">
        <f>Referencias[[#This Row],[PVP]]*4.5%</f>
        <v>3.17475</v>
      </c>
      <c r="D8" s="15" t="s">
        <v>83</v>
      </c>
      <c r="E8" s="15" t="s">
        <v>80</v>
      </c>
      <c r="F8" s="6"/>
      <c r="G8" s="6"/>
      <c r="H8" s="6"/>
    </row>
    <row r="9" spans="1:8" ht="14.1" customHeight="1" x14ac:dyDescent="0.25">
      <c r="A9" s="19" t="s">
        <v>114</v>
      </c>
      <c r="B9" s="22">
        <v>70.55</v>
      </c>
      <c r="C9" s="22">
        <f>Referencias[[#This Row],[PVP]]*4.5%</f>
        <v>3.17475</v>
      </c>
      <c r="D9" s="15" t="s">
        <v>83</v>
      </c>
      <c r="E9" s="15" t="s">
        <v>81</v>
      </c>
      <c r="F9" s="6"/>
      <c r="G9" s="6"/>
      <c r="H9" s="6"/>
    </row>
    <row r="10" spans="1:8" ht="14.1" customHeight="1" x14ac:dyDescent="0.25">
      <c r="A10" s="19" t="s">
        <v>87</v>
      </c>
      <c r="B10" s="22">
        <v>33.700000000000003</v>
      </c>
      <c r="C10" s="22">
        <f>Referencias[[#This Row],[PVP]]*4.5%</f>
        <v>1.5165000000000002</v>
      </c>
      <c r="D10" s="15" t="s">
        <v>83</v>
      </c>
      <c r="E10" s="15" t="s">
        <v>76</v>
      </c>
      <c r="F10" s="6"/>
      <c r="G10" s="6"/>
      <c r="H10" s="6"/>
    </row>
    <row r="11" spans="1:8" ht="14.1" customHeight="1" x14ac:dyDescent="0.25">
      <c r="A11" s="19" t="s">
        <v>88</v>
      </c>
      <c r="B11" s="22">
        <v>532.35</v>
      </c>
      <c r="C11" s="22">
        <f>Referencias[[#This Row],[PVP]]*4.5%</f>
        <v>23.955750000000002</v>
      </c>
      <c r="D11" s="15" t="s">
        <v>83</v>
      </c>
      <c r="E11" s="15" t="s">
        <v>40</v>
      </c>
      <c r="F11" s="6"/>
      <c r="G11" s="6"/>
      <c r="H11" s="6"/>
    </row>
    <row r="12" spans="1:8" ht="14.1" customHeight="1" x14ac:dyDescent="0.25">
      <c r="A12" s="19" t="s">
        <v>89</v>
      </c>
      <c r="B12" s="22">
        <v>141.1</v>
      </c>
      <c r="C12" s="22">
        <f>Referencias[[#This Row],[PVP]]*4.5%</f>
        <v>6.3494999999999999</v>
      </c>
      <c r="D12" s="15" t="s">
        <v>83</v>
      </c>
      <c r="E12" s="15" t="s">
        <v>41</v>
      </c>
      <c r="F12" s="6"/>
      <c r="G12" s="6"/>
      <c r="H12" s="6"/>
    </row>
    <row r="13" spans="1:8" ht="14.1" customHeight="1" x14ac:dyDescent="0.25">
      <c r="A13" s="19" t="s">
        <v>90</v>
      </c>
      <c r="B13" s="22">
        <v>74</v>
      </c>
      <c r="C13" s="22">
        <f>Referencias[[#This Row],[PVP]]*4.5%</f>
        <v>3.33</v>
      </c>
      <c r="D13" s="15" t="s">
        <v>83</v>
      </c>
      <c r="E13" s="15" t="s">
        <v>32</v>
      </c>
      <c r="F13" s="6"/>
      <c r="G13" s="6"/>
      <c r="H13" s="6"/>
    </row>
    <row r="14" spans="1:8" ht="14.1" customHeight="1" x14ac:dyDescent="0.25">
      <c r="A14" s="19" t="s">
        <v>93</v>
      </c>
      <c r="B14" s="22">
        <v>4</v>
      </c>
      <c r="C14" s="22">
        <f>Referencias[[#This Row],[PVP]]*4.5%</f>
        <v>0.18</v>
      </c>
      <c r="D14" s="15" t="s">
        <v>83</v>
      </c>
      <c r="E14" s="15" t="s">
        <v>54</v>
      </c>
      <c r="F14" s="6"/>
      <c r="G14" s="6"/>
      <c r="H14" s="6"/>
    </row>
    <row r="15" spans="1:8" ht="14.1" customHeight="1" x14ac:dyDescent="0.25">
      <c r="A15" s="19" t="s">
        <v>94</v>
      </c>
      <c r="B15" s="22">
        <v>35.53</v>
      </c>
      <c r="C15" s="22">
        <f>Referencias[[#This Row],[PVP]]*4.5%</f>
        <v>1.5988499999999999</v>
      </c>
      <c r="D15" s="15" t="s">
        <v>83</v>
      </c>
      <c r="E15" s="15" t="s">
        <v>55</v>
      </c>
      <c r="F15" s="6"/>
      <c r="G15" s="6"/>
      <c r="H15" s="6"/>
    </row>
    <row r="16" spans="1:8" ht="14.1" customHeight="1" x14ac:dyDescent="0.25">
      <c r="A16" s="19" t="s">
        <v>95</v>
      </c>
      <c r="B16" s="22">
        <v>2882.1800000000003</v>
      </c>
      <c r="C16" s="22">
        <f>Referencias[[#This Row],[PVP]]*4.5%</f>
        <v>129.69810000000001</v>
      </c>
      <c r="D16" s="15" t="s">
        <v>83</v>
      </c>
      <c r="E16" s="15" t="s">
        <v>57</v>
      </c>
      <c r="F16" s="6"/>
      <c r="G16" s="7"/>
      <c r="H16" s="6"/>
    </row>
    <row r="17" spans="1:8" ht="14.1" customHeight="1" x14ac:dyDescent="0.25">
      <c r="A17" s="19" t="s">
        <v>96</v>
      </c>
      <c r="B17" s="22">
        <v>325.2</v>
      </c>
      <c r="C17" s="22">
        <f>Referencias[[#This Row],[PVP]]*4.5%</f>
        <v>14.633999999999999</v>
      </c>
      <c r="D17" s="15" t="s">
        <v>83</v>
      </c>
      <c r="E17" s="15" t="s">
        <v>56</v>
      </c>
      <c r="F17" s="6"/>
      <c r="G17" s="6"/>
      <c r="H17" s="6"/>
    </row>
    <row r="18" spans="1:8" ht="14.1" customHeight="1" x14ac:dyDescent="0.25">
      <c r="A18" s="19" t="s">
        <v>72</v>
      </c>
      <c r="B18" s="22">
        <v>33.700000000000003</v>
      </c>
      <c r="C18" s="22">
        <f>Referencias[[#This Row],[PVP]]*4.5%</f>
        <v>1.5165000000000002</v>
      </c>
      <c r="D18" s="15" t="s">
        <v>83</v>
      </c>
      <c r="E18" s="15" t="s">
        <v>37</v>
      </c>
      <c r="F18" s="6"/>
      <c r="G18" s="6"/>
      <c r="H18" s="6"/>
    </row>
    <row r="19" spans="1:8" ht="14.1" customHeight="1" x14ac:dyDescent="0.25">
      <c r="A19" s="19" t="s">
        <v>78</v>
      </c>
      <c r="B19" s="22">
        <v>160.30000000000001</v>
      </c>
      <c r="C19" s="22">
        <f>Referencias[[#This Row],[PVP]]*4.5%</f>
        <v>7.2134999999999998</v>
      </c>
      <c r="D19" s="15" t="s">
        <v>83</v>
      </c>
      <c r="E19" s="15" t="s">
        <v>38</v>
      </c>
      <c r="F19" s="6"/>
      <c r="G19" s="6"/>
      <c r="H19" s="6"/>
    </row>
    <row r="20" spans="1:8" ht="14.1" customHeight="1" x14ac:dyDescent="0.25">
      <c r="A20" s="19" t="s">
        <v>97</v>
      </c>
      <c r="B20" s="22">
        <v>1467.5</v>
      </c>
      <c r="C20" s="22">
        <f>Referencias[[#This Row],[PVP]]*4.5%</f>
        <v>66.037499999999994</v>
      </c>
      <c r="D20" s="15" t="s">
        <v>83</v>
      </c>
      <c r="E20" s="15" t="s">
        <v>48</v>
      </c>
      <c r="F20" s="6"/>
      <c r="G20" s="6"/>
      <c r="H20" s="6"/>
    </row>
    <row r="21" spans="1:8" ht="14.1" customHeight="1" x14ac:dyDescent="0.25">
      <c r="A21" s="19" t="s">
        <v>98</v>
      </c>
      <c r="B21" s="22">
        <v>1100</v>
      </c>
      <c r="C21" s="22">
        <f>Referencias[[#This Row],[PVP]]*4.5%</f>
        <v>49.5</v>
      </c>
      <c r="D21" s="15" t="s">
        <v>83</v>
      </c>
      <c r="E21" s="15" t="s">
        <v>47</v>
      </c>
      <c r="F21" s="6"/>
      <c r="G21" s="6"/>
      <c r="H21" s="6"/>
    </row>
    <row r="22" spans="1:8" ht="14.1" customHeight="1" x14ac:dyDescent="0.25">
      <c r="A22" s="19" t="s">
        <v>99</v>
      </c>
      <c r="B22" s="22">
        <v>2200</v>
      </c>
      <c r="C22" s="22">
        <f>Referencias[[#This Row],[PVP]]*4.5%</f>
        <v>99</v>
      </c>
      <c r="D22" s="15" t="s">
        <v>83</v>
      </c>
      <c r="E22" s="15" t="s">
        <v>45</v>
      </c>
      <c r="F22" s="6"/>
      <c r="G22" s="6"/>
      <c r="H22" s="6"/>
    </row>
    <row r="23" spans="1:8" ht="14.1" customHeight="1" x14ac:dyDescent="0.25">
      <c r="A23" s="19" t="s">
        <v>74</v>
      </c>
      <c r="B23" s="22">
        <v>355.35</v>
      </c>
      <c r="C23" s="22">
        <f>Referencias[[#This Row],[PVP]]*4.5%</f>
        <v>15.99075</v>
      </c>
      <c r="D23" s="15" t="s">
        <v>83</v>
      </c>
      <c r="E23" s="15" t="s">
        <v>43</v>
      </c>
      <c r="F23" s="6"/>
      <c r="G23" s="6"/>
      <c r="H23" s="6"/>
    </row>
    <row r="24" spans="1:8" ht="14.1" customHeight="1" x14ac:dyDescent="0.25">
      <c r="A24" s="19" t="s">
        <v>73</v>
      </c>
      <c r="B24" s="22">
        <v>39.93</v>
      </c>
      <c r="C24" s="22">
        <f>Referencias[[#This Row],[PVP]]*4.5%</f>
        <v>1.7968499999999998</v>
      </c>
      <c r="D24" s="15" t="s">
        <v>83</v>
      </c>
      <c r="E24" s="15" t="s">
        <v>42</v>
      </c>
      <c r="F24" s="6"/>
      <c r="G24" s="6"/>
      <c r="H24" s="6"/>
    </row>
    <row r="25" spans="1:8" ht="14.1" customHeight="1" x14ac:dyDescent="0.25">
      <c r="A25" s="19" t="s">
        <v>75</v>
      </c>
      <c r="B25" s="22">
        <v>3252.23</v>
      </c>
      <c r="C25" s="22">
        <f>Referencias[[#This Row],[PVP]]*4.5%</f>
        <v>146.35034999999999</v>
      </c>
      <c r="D25" s="15" t="s">
        <v>83</v>
      </c>
      <c r="E25" s="15" t="s">
        <v>44</v>
      </c>
      <c r="F25" s="6"/>
      <c r="G25" s="6"/>
      <c r="H25" s="6"/>
    </row>
    <row r="26" spans="1:8" ht="14.1" customHeight="1" x14ac:dyDescent="0.25">
      <c r="A26" s="19" t="s">
        <v>100</v>
      </c>
      <c r="B26" s="22">
        <v>0.5</v>
      </c>
      <c r="C26" s="22">
        <f>Referencias[[#This Row],[PVP]]*4.5%</f>
        <v>2.2499999999999999E-2</v>
      </c>
      <c r="D26" s="15" t="s">
        <v>83</v>
      </c>
      <c r="E26" s="15" t="s">
        <v>67</v>
      </c>
      <c r="F26" s="6"/>
      <c r="G26" s="6"/>
      <c r="H26" s="6"/>
    </row>
    <row r="27" spans="1:8" ht="14.1" customHeight="1" x14ac:dyDescent="0.25">
      <c r="A27" s="19" t="s">
        <v>85</v>
      </c>
      <c r="B27" s="22">
        <v>59.18</v>
      </c>
      <c r="C27" s="22">
        <f>Referencias[[#This Row],[PVP]]*4.5%</f>
        <v>2.6631</v>
      </c>
      <c r="D27" s="15" t="s">
        <v>83</v>
      </c>
      <c r="E27" s="15" t="s">
        <v>29</v>
      </c>
      <c r="F27" s="6"/>
      <c r="G27" s="6"/>
      <c r="H27" s="6"/>
    </row>
    <row r="28" spans="1:8" ht="14.1" customHeight="1" x14ac:dyDescent="0.25">
      <c r="A28" s="19" t="s">
        <v>65</v>
      </c>
      <c r="B28" s="22">
        <v>14.8</v>
      </c>
      <c r="C28" s="22">
        <f>Referencias[[#This Row],[PVP]]*4.5%</f>
        <v>0.66600000000000004</v>
      </c>
      <c r="D28" s="15" t="s">
        <v>83</v>
      </c>
      <c r="E28" s="15" t="s">
        <v>46</v>
      </c>
      <c r="F28" s="6"/>
      <c r="G28" s="6"/>
      <c r="H28" s="6"/>
    </row>
    <row r="29" spans="1:8" ht="14.1" customHeight="1" x14ac:dyDescent="0.25">
      <c r="A29" s="19" t="s">
        <v>66</v>
      </c>
      <c r="B29" s="22">
        <v>471.95</v>
      </c>
      <c r="C29" s="22">
        <f>Referencias[[#This Row],[PVP]]*4.5%</f>
        <v>21.237749999999998</v>
      </c>
      <c r="D29" s="15" t="s">
        <v>83</v>
      </c>
      <c r="E29" s="15" t="s">
        <v>30</v>
      </c>
      <c r="F29" s="6"/>
      <c r="G29" s="6"/>
      <c r="H29" s="6"/>
    </row>
    <row r="30" spans="1:8" ht="14.1" customHeight="1" x14ac:dyDescent="0.25">
      <c r="A30" s="19" t="s">
        <v>70</v>
      </c>
      <c r="B30" s="22">
        <v>67.400000000000006</v>
      </c>
      <c r="C30" s="22">
        <f>Referencias[[#This Row],[PVP]]*4.5%</f>
        <v>3.0330000000000004</v>
      </c>
      <c r="D30" s="15" t="s">
        <v>83</v>
      </c>
      <c r="E30" s="15" t="s">
        <v>34</v>
      </c>
      <c r="F30" s="6"/>
      <c r="G30" s="6"/>
      <c r="H30" s="6"/>
    </row>
    <row r="31" spans="1:8" ht="14.1" customHeight="1" x14ac:dyDescent="0.25">
      <c r="A31" s="19" t="s">
        <v>70</v>
      </c>
      <c r="B31" s="22">
        <v>53.9</v>
      </c>
      <c r="C31" s="22">
        <f>Referencias[[#This Row],[PVP]]*4.5%</f>
        <v>2.4255</v>
      </c>
      <c r="D31" s="15" t="s">
        <v>83</v>
      </c>
      <c r="E31" s="15" t="s">
        <v>31</v>
      </c>
      <c r="F31" s="6"/>
      <c r="G31" s="6"/>
      <c r="H31" s="6"/>
    </row>
    <row r="32" spans="1:8" ht="14.1" customHeight="1" x14ac:dyDescent="0.25">
      <c r="A32" s="19" t="s">
        <v>70</v>
      </c>
      <c r="B32" s="22">
        <v>43.1</v>
      </c>
      <c r="C32" s="22">
        <f>Referencias[[#This Row],[PVP]]*4.5%</f>
        <v>1.9395</v>
      </c>
      <c r="D32" s="15" t="s">
        <v>83</v>
      </c>
      <c r="E32" s="15" t="s">
        <v>37</v>
      </c>
      <c r="F32" s="6"/>
      <c r="G32" s="6"/>
      <c r="H32" s="6"/>
    </row>
    <row r="33" spans="1:8" ht="14.1" customHeight="1" x14ac:dyDescent="0.25">
      <c r="A33" s="19" t="s">
        <v>69</v>
      </c>
      <c r="B33" s="22">
        <v>33.700000000000003</v>
      </c>
      <c r="C33" s="22">
        <f>Referencias[[#This Row],[PVP]]*4.5%</f>
        <v>1.5165000000000002</v>
      </c>
      <c r="D33" s="15" t="s">
        <v>83</v>
      </c>
      <c r="E33" s="15" t="s">
        <v>36</v>
      </c>
      <c r="F33" s="6"/>
      <c r="G33" s="6"/>
      <c r="H33" s="6"/>
    </row>
    <row r="34" spans="1:8" ht="14.1" customHeight="1" x14ac:dyDescent="0.25">
      <c r="A34" s="19" t="s">
        <v>69</v>
      </c>
      <c r="B34" s="22">
        <v>26.95</v>
      </c>
      <c r="C34" s="22">
        <f>Referencias[[#This Row],[PVP]]*4.5%</f>
        <v>1.21275</v>
      </c>
      <c r="D34" s="15" t="s">
        <v>83</v>
      </c>
      <c r="E34" s="15" t="s">
        <v>34</v>
      </c>
      <c r="F34" s="6"/>
      <c r="G34" s="6"/>
      <c r="H34" s="6"/>
    </row>
    <row r="35" spans="1:8" ht="14.1" customHeight="1" x14ac:dyDescent="0.25">
      <c r="A35" s="19" t="s">
        <v>69</v>
      </c>
      <c r="B35" s="22">
        <v>21.55</v>
      </c>
      <c r="C35" s="22">
        <f>Referencias[[#This Row],[PVP]]*4.5%</f>
        <v>0.96975</v>
      </c>
      <c r="D35" s="15" t="s">
        <v>83</v>
      </c>
      <c r="E35" s="15" t="s">
        <v>31</v>
      </c>
      <c r="F35" s="6"/>
      <c r="G35" s="6"/>
      <c r="H35" s="6"/>
    </row>
    <row r="36" spans="1:8" ht="14.1" customHeight="1" x14ac:dyDescent="0.25">
      <c r="A36" s="19" t="s">
        <v>68</v>
      </c>
      <c r="B36" s="22">
        <v>16.850000000000001</v>
      </c>
      <c r="C36" s="22">
        <f>Referencias[[#This Row],[PVP]]*4.5%</f>
        <v>0.75825000000000009</v>
      </c>
      <c r="D36" s="15" t="s">
        <v>83</v>
      </c>
      <c r="E36" s="15" t="s">
        <v>35</v>
      </c>
      <c r="F36" s="6"/>
      <c r="G36" s="6"/>
      <c r="H36" s="6"/>
    </row>
    <row r="37" spans="1:8" ht="14.1" customHeight="1" x14ac:dyDescent="0.25">
      <c r="A37" s="19" t="s">
        <v>68</v>
      </c>
      <c r="B37" s="22">
        <v>13.48</v>
      </c>
      <c r="C37" s="22">
        <f>Referencias[[#This Row],[PVP]]*4.5%</f>
        <v>0.60660000000000003</v>
      </c>
      <c r="D37" s="15" t="s">
        <v>83</v>
      </c>
      <c r="E37" s="15" t="s">
        <v>36</v>
      </c>
      <c r="F37" s="6"/>
      <c r="G37" s="6"/>
      <c r="H37" s="6"/>
    </row>
    <row r="38" spans="1:8" ht="14.1" customHeight="1" x14ac:dyDescent="0.25">
      <c r="A38" s="20" t="s">
        <v>68</v>
      </c>
      <c r="B38" s="23">
        <v>10.78</v>
      </c>
      <c r="C38" s="23">
        <f>Referencias[[#This Row],[PVP]]*4.5%</f>
        <v>0.48509999999999998</v>
      </c>
      <c r="D38" s="17" t="s">
        <v>83</v>
      </c>
      <c r="E38" s="17" t="s">
        <v>34</v>
      </c>
      <c r="F38" s="6"/>
      <c r="G38" s="6"/>
      <c r="H38" s="6"/>
    </row>
  </sheetData>
  <phoneticPr fontId="4" type="noConversion"/>
  <pageMargins left="0.7" right="0.7" top="0.75" bottom="0.75" header="0.3" footer="0.3"/>
  <pageSetup paperSize="9" orientation="portrait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AA5B-D1D6-42E3-83ED-56E4CA8E492F}">
  <sheetPr>
    <tabColor rgb="FFC8102E"/>
    <pageSetUpPr fitToPage="1"/>
  </sheetPr>
  <dimension ref="A1:AK47"/>
  <sheetViews>
    <sheetView showGridLines="0" tabSelected="1" zoomScale="110" zoomScaleNormal="110" workbookViewId="0">
      <pane ySplit="8" topLeftCell="A16" activePane="bottomLeft" state="frozen"/>
      <selection activeCell="G1" sqref="G1"/>
      <selection pane="bottomLeft" activeCell="P20" sqref="P20:Q20"/>
    </sheetView>
  </sheetViews>
  <sheetFormatPr baseColWidth="10" defaultColWidth="0" defaultRowHeight="10.8" zeroHeight="1" x14ac:dyDescent="0.25"/>
  <cols>
    <col min="1" max="1" width="2.5546875" style="37" customWidth="1"/>
    <col min="2" max="2" width="17.77734375" style="41" customWidth="1"/>
    <col min="3" max="6" width="3.88671875" style="37" customWidth="1"/>
    <col min="7" max="13" width="5.33203125" style="42" customWidth="1"/>
    <col min="14" max="15" width="5.5546875" style="42" customWidth="1"/>
    <col min="16" max="22" width="4.6640625" style="37" customWidth="1"/>
    <col min="23" max="23" width="4.6640625" style="43" customWidth="1"/>
    <col min="24" max="27" width="4.6640625" style="37" customWidth="1"/>
    <col min="28" max="28" width="2.21875" style="37" customWidth="1"/>
    <col min="29" max="31" width="2.21875" style="37" hidden="1" customWidth="1"/>
    <col min="32" max="34" width="0" style="37" hidden="1" customWidth="1"/>
    <col min="35" max="16384" width="3.5546875" style="37" hidden="1"/>
  </cols>
  <sheetData>
    <row r="1" spans="1:37" ht="36" customHeight="1" thickBot="1" x14ac:dyDescent="0.3">
      <c r="A1" s="36"/>
      <c r="B1" s="44" t="s">
        <v>107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36"/>
      <c r="AC1" s="36"/>
      <c r="AD1" s="36"/>
      <c r="AE1" s="36"/>
    </row>
    <row r="2" spans="1:37" ht="21" customHeight="1" thickTop="1" x14ac:dyDescent="0.25">
      <c r="A2" s="36"/>
      <c r="B2" s="101" t="s">
        <v>103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36"/>
      <c r="AC2" s="36"/>
      <c r="AD2" s="36"/>
      <c r="AE2" s="36"/>
    </row>
    <row r="3" spans="1:37" ht="13.5" customHeight="1" x14ac:dyDescent="0.25">
      <c r="A3" s="36"/>
      <c r="B3" s="75" t="s">
        <v>0</v>
      </c>
      <c r="C3" s="75"/>
      <c r="D3" s="75"/>
      <c r="E3" s="75"/>
      <c r="F3" s="111"/>
      <c r="G3" s="111"/>
      <c r="H3" s="111"/>
      <c r="I3" s="111"/>
      <c r="J3" s="36"/>
      <c r="K3" s="93" t="s">
        <v>1</v>
      </c>
      <c r="L3" s="93"/>
      <c r="M3" s="93"/>
      <c r="N3" s="93"/>
      <c r="O3" s="111"/>
      <c r="P3" s="111"/>
      <c r="Q3" s="111"/>
      <c r="R3" s="111"/>
      <c r="S3" s="36"/>
      <c r="T3" s="93" t="s">
        <v>2</v>
      </c>
      <c r="U3" s="93"/>
      <c r="V3" s="93"/>
      <c r="W3" s="93"/>
      <c r="X3" s="112"/>
      <c r="Y3" s="111"/>
      <c r="Z3" s="111"/>
      <c r="AA3" s="111"/>
      <c r="AB3" s="36"/>
      <c r="AC3" s="36"/>
      <c r="AD3" s="36"/>
      <c r="AE3" s="36"/>
    </row>
    <row r="4" spans="1:37" ht="3" customHeight="1" x14ac:dyDescent="0.25">
      <c r="A4" s="36"/>
      <c r="B4" s="46"/>
      <c r="C4" s="46"/>
      <c r="D4" s="46"/>
      <c r="E4" s="46"/>
      <c r="F4" s="38"/>
      <c r="G4" s="38"/>
      <c r="H4" s="38"/>
      <c r="I4" s="38"/>
      <c r="J4" s="36"/>
      <c r="K4" s="46"/>
      <c r="L4" s="46"/>
      <c r="M4" s="46"/>
      <c r="N4" s="46"/>
      <c r="O4" s="38"/>
      <c r="P4" s="38"/>
      <c r="Q4" s="38"/>
      <c r="R4" s="38"/>
      <c r="S4" s="36"/>
      <c r="T4" s="38"/>
      <c r="U4" s="38"/>
      <c r="V4" s="38"/>
      <c r="W4" s="38"/>
      <c r="X4" s="38"/>
      <c r="Y4" s="38"/>
      <c r="Z4" s="38"/>
      <c r="AA4" s="38"/>
      <c r="AB4" s="36"/>
      <c r="AC4" s="36"/>
      <c r="AD4" s="36"/>
      <c r="AE4" s="36"/>
    </row>
    <row r="5" spans="1:37" ht="13.5" customHeight="1" x14ac:dyDescent="0.25">
      <c r="A5" s="36"/>
      <c r="B5" s="75" t="s">
        <v>3</v>
      </c>
      <c r="C5" s="75"/>
      <c r="D5" s="75"/>
      <c r="E5" s="75"/>
      <c r="F5" s="76"/>
      <c r="G5" s="76"/>
      <c r="H5" s="76"/>
      <c r="I5" s="76"/>
      <c r="J5" s="76"/>
      <c r="K5" s="76"/>
      <c r="L5" s="76"/>
      <c r="M5" s="76"/>
      <c r="N5" s="76"/>
      <c r="O5" s="113"/>
      <c r="P5" s="113"/>
      <c r="Q5" s="113"/>
      <c r="R5" s="113"/>
      <c r="S5" s="46"/>
      <c r="T5" s="46"/>
      <c r="U5" s="46"/>
      <c r="V5" s="46"/>
      <c r="W5" s="46"/>
      <c r="X5" s="46"/>
      <c r="Y5" s="46"/>
      <c r="Z5" s="46"/>
      <c r="AA5" s="46"/>
      <c r="AB5" s="36"/>
      <c r="AC5" s="36"/>
      <c r="AD5" s="36"/>
      <c r="AE5" s="36"/>
    </row>
    <row r="6" spans="1:37" ht="3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8"/>
      <c r="X6" s="36"/>
      <c r="Y6" s="36"/>
      <c r="Z6" s="36"/>
      <c r="AA6" s="36"/>
      <c r="AB6" s="36"/>
      <c r="AC6" s="36"/>
      <c r="AD6" s="36"/>
      <c r="AE6" s="36"/>
    </row>
    <row r="7" spans="1:37" ht="13.5" customHeight="1" x14ac:dyDescent="0.25">
      <c r="A7" s="36"/>
      <c r="B7" s="75" t="s">
        <v>4</v>
      </c>
      <c r="C7" s="75"/>
      <c r="D7" s="75"/>
      <c r="E7" s="75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36"/>
      <c r="AC7" s="36"/>
      <c r="AD7" s="36"/>
      <c r="AE7" s="36"/>
    </row>
    <row r="8" spans="1:37" ht="13.8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8"/>
      <c r="X8" s="36"/>
      <c r="Y8" s="36"/>
      <c r="Z8" s="36"/>
      <c r="AA8" s="36"/>
      <c r="AB8" s="36"/>
      <c r="AC8" s="36"/>
      <c r="AD8" s="36"/>
      <c r="AE8" s="36"/>
    </row>
    <row r="9" spans="1:37" ht="14.55" customHeight="1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9"/>
      <c r="V9" s="39"/>
      <c r="W9" s="39"/>
      <c r="X9" s="39"/>
      <c r="Y9" s="39"/>
      <c r="Z9" s="39"/>
      <c r="AA9" s="39"/>
      <c r="AB9" s="36"/>
      <c r="AC9" s="36"/>
      <c r="AD9" s="36"/>
      <c r="AE9" s="36"/>
    </row>
    <row r="10" spans="1:37" ht="25.05" customHeight="1" thickBot="1" x14ac:dyDescent="0.3">
      <c r="A10" s="36"/>
      <c r="B10" s="47" t="s">
        <v>60</v>
      </c>
      <c r="C10" s="47"/>
      <c r="D10" s="47"/>
      <c r="E10" s="47"/>
      <c r="F10" s="77" t="s">
        <v>5</v>
      </c>
      <c r="G10" s="77"/>
      <c r="H10" s="77"/>
      <c r="I10" s="77"/>
      <c r="J10" s="48"/>
      <c r="K10" s="47" t="s">
        <v>12</v>
      </c>
      <c r="L10" s="47"/>
      <c r="M10" s="47"/>
      <c r="N10" s="47"/>
      <c r="O10" s="47"/>
      <c r="P10" s="47"/>
      <c r="Q10" s="48"/>
      <c r="R10" s="48"/>
      <c r="S10" s="48"/>
      <c r="T10" s="48" t="s">
        <v>27</v>
      </c>
      <c r="U10" s="48"/>
      <c r="V10" s="48"/>
      <c r="W10" s="77" t="s">
        <v>5</v>
      </c>
      <c r="X10" s="77"/>
      <c r="Y10" s="77"/>
      <c r="Z10" s="77"/>
      <c r="AA10" s="39"/>
      <c r="AB10" s="39"/>
      <c r="AC10" s="39"/>
      <c r="AD10" s="39"/>
      <c r="AE10" s="36"/>
      <c r="AF10" s="36"/>
      <c r="AG10" s="36"/>
      <c r="AH10" s="36"/>
    </row>
    <row r="11" spans="1:37" ht="13.5" customHeight="1" x14ac:dyDescent="0.25">
      <c r="A11" s="36"/>
      <c r="B11" s="49" t="s">
        <v>58</v>
      </c>
      <c r="C11" s="108" t="s">
        <v>106</v>
      </c>
      <c r="D11" s="108"/>
      <c r="E11" s="108"/>
      <c r="F11" s="78">
        <v>0</v>
      </c>
      <c r="G11" s="78"/>
      <c r="H11" s="78"/>
      <c r="I11" s="78"/>
      <c r="J11" s="36"/>
      <c r="K11" s="46" t="s">
        <v>13</v>
      </c>
      <c r="L11" s="46"/>
      <c r="M11" s="50" t="s">
        <v>14</v>
      </c>
      <c r="N11" s="50"/>
      <c r="O11" s="50"/>
      <c r="P11" s="50"/>
      <c r="Q11" s="108" t="s">
        <v>111</v>
      </c>
      <c r="R11" s="108"/>
      <c r="S11" s="108"/>
      <c r="T11" s="105"/>
      <c r="U11" s="105"/>
      <c r="V11" s="27"/>
      <c r="W11" s="102">
        <f>T11*'Referencias'!H3</f>
        <v>0</v>
      </c>
      <c r="X11" s="102"/>
      <c r="Y11" s="102"/>
      <c r="Z11" s="102"/>
      <c r="AA11" s="39"/>
      <c r="AB11" s="39"/>
      <c r="AC11" s="39"/>
      <c r="AD11" s="39"/>
      <c r="AE11" s="39"/>
      <c r="AF11" s="39"/>
      <c r="AG11" s="39"/>
      <c r="AH11" s="36"/>
      <c r="AI11" s="36"/>
      <c r="AJ11" s="36"/>
      <c r="AK11" s="36"/>
    </row>
    <row r="12" spans="1:37" ht="13.5" customHeight="1" x14ac:dyDescent="0.25">
      <c r="A12" s="36"/>
      <c r="B12" s="51" t="s">
        <v>61</v>
      </c>
      <c r="C12" s="109"/>
      <c r="D12" s="109"/>
      <c r="E12" s="109"/>
      <c r="F12" s="91">
        <v>0</v>
      </c>
      <c r="G12" s="91"/>
      <c r="H12" s="91"/>
      <c r="I12" s="91"/>
      <c r="J12" s="36"/>
      <c r="K12" s="46" t="s">
        <v>15</v>
      </c>
      <c r="L12" s="46"/>
      <c r="M12" s="50" t="s">
        <v>16</v>
      </c>
      <c r="N12" s="50"/>
      <c r="O12" s="50"/>
      <c r="P12" s="50"/>
      <c r="Q12" s="109"/>
      <c r="R12" s="109"/>
      <c r="S12" s="109"/>
      <c r="T12" s="106"/>
      <c r="U12" s="106"/>
      <c r="V12" s="28"/>
      <c r="W12" s="103">
        <f>T12*'Referencias'!H4</f>
        <v>0</v>
      </c>
      <c r="X12" s="103"/>
      <c r="Y12" s="103"/>
      <c r="Z12" s="103"/>
      <c r="AA12" s="39"/>
      <c r="AB12" s="39"/>
      <c r="AC12" s="39"/>
      <c r="AD12" s="39"/>
      <c r="AE12" s="39"/>
      <c r="AF12" s="39"/>
      <c r="AG12" s="39"/>
      <c r="AH12" s="36"/>
      <c r="AI12" s="36"/>
      <c r="AJ12" s="36"/>
      <c r="AK12" s="36"/>
    </row>
    <row r="13" spans="1:37" ht="13.5" customHeight="1" x14ac:dyDescent="0.25">
      <c r="A13" s="36"/>
      <c r="B13" s="51" t="s">
        <v>62</v>
      </c>
      <c r="C13" s="109"/>
      <c r="D13" s="109"/>
      <c r="E13" s="109"/>
      <c r="F13" s="91">
        <v>0</v>
      </c>
      <c r="G13" s="91"/>
      <c r="H13" s="91"/>
      <c r="I13" s="91"/>
      <c r="J13" s="36"/>
      <c r="K13" s="46" t="s">
        <v>101</v>
      </c>
      <c r="L13" s="46"/>
      <c r="M13" s="50" t="s">
        <v>17</v>
      </c>
      <c r="N13" s="50"/>
      <c r="O13" s="50"/>
      <c r="P13" s="50"/>
      <c r="Q13" s="109"/>
      <c r="R13" s="109"/>
      <c r="S13" s="109"/>
      <c r="T13" s="106"/>
      <c r="U13" s="106"/>
      <c r="V13" s="28"/>
      <c r="W13" s="103">
        <f>T13*'Referencias'!H5</f>
        <v>0</v>
      </c>
      <c r="X13" s="103"/>
      <c r="Y13" s="103"/>
      <c r="Z13" s="103"/>
      <c r="AA13" s="39"/>
      <c r="AB13" s="39"/>
      <c r="AC13" s="39"/>
      <c r="AD13" s="39"/>
      <c r="AE13" s="39"/>
      <c r="AF13" s="39"/>
      <c r="AG13" s="39"/>
      <c r="AH13" s="36"/>
      <c r="AI13" s="36"/>
      <c r="AJ13" s="36"/>
      <c r="AK13" s="36"/>
    </row>
    <row r="14" spans="1:37" ht="13.5" customHeight="1" x14ac:dyDescent="0.25">
      <c r="A14" s="36"/>
      <c r="B14" s="51" t="s">
        <v>63</v>
      </c>
      <c r="C14" s="109"/>
      <c r="D14" s="109"/>
      <c r="E14" s="109"/>
      <c r="F14" s="91">
        <v>0</v>
      </c>
      <c r="G14" s="91"/>
      <c r="H14" s="91"/>
      <c r="I14" s="91"/>
      <c r="J14" s="36"/>
      <c r="K14" s="46" t="s">
        <v>53</v>
      </c>
      <c r="L14" s="46"/>
      <c r="M14" s="50" t="s">
        <v>52</v>
      </c>
      <c r="N14" s="50"/>
      <c r="O14" s="50"/>
      <c r="P14" s="50"/>
      <c r="Q14" s="109"/>
      <c r="R14" s="109"/>
      <c r="S14" s="109"/>
      <c r="T14" s="106"/>
      <c r="U14" s="106"/>
      <c r="V14" s="28"/>
      <c r="W14" s="103">
        <f>T14*'Referencias'!H6</f>
        <v>0</v>
      </c>
      <c r="X14" s="103"/>
      <c r="Y14" s="103"/>
      <c r="Z14" s="103"/>
      <c r="AA14" s="39"/>
      <c r="AB14" s="39"/>
      <c r="AC14" s="39"/>
      <c r="AD14" s="39"/>
      <c r="AE14" s="39"/>
      <c r="AF14" s="39"/>
      <c r="AG14" s="39"/>
      <c r="AH14" s="36"/>
      <c r="AI14" s="36"/>
      <c r="AJ14" s="36"/>
      <c r="AK14" s="36"/>
    </row>
    <row r="15" spans="1:37" ht="13.5" customHeight="1" thickBot="1" x14ac:dyDescent="0.3">
      <c r="A15" s="36"/>
      <c r="B15" s="52" t="s">
        <v>64</v>
      </c>
      <c r="C15" s="110"/>
      <c r="D15" s="110"/>
      <c r="E15" s="110"/>
      <c r="F15" s="94">
        <v>0</v>
      </c>
      <c r="G15" s="94"/>
      <c r="H15" s="94"/>
      <c r="I15" s="94"/>
      <c r="J15" s="36"/>
      <c r="K15" s="46" t="s">
        <v>104</v>
      </c>
      <c r="L15" s="46"/>
      <c r="M15" s="50" t="s">
        <v>105</v>
      </c>
      <c r="N15" s="50"/>
      <c r="O15" s="50"/>
      <c r="P15" s="50"/>
      <c r="Q15" s="110"/>
      <c r="R15" s="110"/>
      <c r="S15" s="110"/>
      <c r="T15" s="107"/>
      <c r="U15" s="107"/>
      <c r="V15" s="29"/>
      <c r="W15" s="104">
        <v>0</v>
      </c>
      <c r="X15" s="104"/>
      <c r="Y15" s="104"/>
      <c r="Z15" s="104"/>
      <c r="AA15" s="39"/>
      <c r="AB15" s="39"/>
      <c r="AC15" s="39"/>
      <c r="AD15" s="39"/>
      <c r="AE15" s="39"/>
      <c r="AF15" s="39"/>
      <c r="AG15" s="39"/>
      <c r="AH15" s="36"/>
      <c r="AI15" s="36"/>
      <c r="AJ15" s="36"/>
      <c r="AK15" s="36"/>
    </row>
    <row r="16" spans="1:37" ht="13.5" customHeight="1" x14ac:dyDescent="0.25">
      <c r="A16" s="36"/>
      <c r="B16" s="53" t="s">
        <v>109</v>
      </c>
      <c r="C16" s="53"/>
      <c r="D16" s="53"/>
      <c r="E16" s="53"/>
      <c r="F16" s="80">
        <f>SUM(F11:F15)</f>
        <v>0</v>
      </c>
      <c r="G16" s="80"/>
      <c r="H16" s="80"/>
      <c r="I16" s="80"/>
      <c r="J16" s="54"/>
      <c r="K16" s="81" t="s">
        <v>110</v>
      </c>
      <c r="L16" s="81"/>
      <c r="M16" s="81"/>
      <c r="N16" s="81"/>
      <c r="O16" s="53"/>
      <c r="P16" s="30"/>
      <c r="Q16" s="30"/>
      <c r="R16" s="30"/>
      <c r="S16" s="30"/>
      <c r="T16" s="96">
        <f>SUM(T11:T15)</f>
        <v>0</v>
      </c>
      <c r="U16" s="96"/>
      <c r="V16" s="30"/>
      <c r="W16" s="95">
        <f>SUM(W11:W15)</f>
        <v>0</v>
      </c>
      <c r="X16" s="95"/>
      <c r="Y16" s="95"/>
      <c r="Z16" s="95"/>
      <c r="AA16" s="39"/>
      <c r="AB16" s="39"/>
      <c r="AC16" s="39"/>
      <c r="AD16" s="39"/>
      <c r="AE16" s="36"/>
      <c r="AF16" s="36"/>
      <c r="AG16" s="36"/>
      <c r="AH16" s="36"/>
    </row>
    <row r="17" spans="1:31" ht="13.5" customHeigh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9"/>
      <c r="V17" s="39"/>
      <c r="W17" s="39"/>
      <c r="X17" s="39"/>
      <c r="Y17" s="39"/>
      <c r="Z17" s="39"/>
      <c r="AA17" s="39"/>
      <c r="AB17" s="36"/>
      <c r="AC17" s="36"/>
      <c r="AD17" s="36"/>
      <c r="AE17" s="36"/>
    </row>
    <row r="18" spans="1:31" ht="24.6" customHeight="1" thickBot="1" x14ac:dyDescent="0.3">
      <c r="A18" s="36"/>
      <c r="B18" s="55" t="s">
        <v>60</v>
      </c>
      <c r="C18" s="56"/>
      <c r="D18" s="56"/>
      <c r="E18" s="56"/>
      <c r="F18" s="57" t="s">
        <v>5</v>
      </c>
      <c r="G18" s="57"/>
      <c r="H18" s="57"/>
      <c r="I18" s="57"/>
      <c r="J18" s="36"/>
      <c r="K18" s="47" t="s">
        <v>117</v>
      </c>
      <c r="L18" s="47"/>
      <c r="M18" s="47"/>
      <c r="N18" s="47"/>
      <c r="O18" s="47"/>
      <c r="P18" s="83" t="s">
        <v>8</v>
      </c>
      <c r="Q18" s="83"/>
      <c r="R18" s="83"/>
      <c r="S18" s="77"/>
      <c r="T18" s="77"/>
      <c r="U18" s="47"/>
      <c r="V18" s="83" t="s">
        <v>115</v>
      </c>
      <c r="W18" s="83"/>
      <c r="X18" s="77"/>
      <c r="Y18" s="77"/>
      <c r="Z18" s="39"/>
      <c r="AA18" s="39"/>
      <c r="AB18" s="36"/>
      <c r="AC18" s="36"/>
      <c r="AD18" s="36"/>
      <c r="AE18" s="36"/>
    </row>
    <row r="19" spans="1:31" ht="13.5" customHeight="1" x14ac:dyDescent="0.25">
      <c r="A19" s="36"/>
      <c r="B19" s="36" t="s">
        <v>59</v>
      </c>
      <c r="C19" s="36"/>
      <c r="D19" s="36"/>
      <c r="E19" s="36"/>
      <c r="F19" s="79">
        <f>F16</f>
        <v>0</v>
      </c>
      <c r="G19" s="79"/>
      <c r="H19" s="79"/>
      <c r="I19" s="79"/>
      <c r="J19" s="36"/>
      <c r="K19" s="36" t="s">
        <v>9</v>
      </c>
      <c r="L19" s="36"/>
      <c r="M19" s="36"/>
      <c r="N19" s="36"/>
      <c r="O19" s="36"/>
      <c r="P19" s="97">
        <f>SUM(S27:U46)</f>
        <v>0</v>
      </c>
      <c r="Q19" s="97"/>
      <c r="R19" s="97"/>
      <c r="S19" s="97"/>
      <c r="T19" s="34" t="s">
        <v>10</v>
      </c>
      <c r="U19" s="33"/>
      <c r="V19" s="98">
        <f>SUM(Y27:AA46)</f>
        <v>0</v>
      </c>
      <c r="W19" s="98"/>
      <c r="X19" s="98"/>
      <c r="Y19" s="32" t="s">
        <v>10</v>
      </c>
      <c r="Z19" s="39"/>
      <c r="AA19" s="39"/>
      <c r="AB19" s="36"/>
      <c r="AC19" s="36"/>
      <c r="AD19" s="36"/>
      <c r="AE19" s="40"/>
    </row>
    <row r="20" spans="1:31" ht="13.5" customHeight="1" x14ac:dyDescent="0.25">
      <c r="A20" s="36"/>
      <c r="B20" s="36" t="s">
        <v>7</v>
      </c>
      <c r="C20" s="36"/>
      <c r="D20" s="36"/>
      <c r="E20" s="36"/>
      <c r="F20" s="82">
        <f>W16</f>
        <v>0</v>
      </c>
      <c r="G20" s="82"/>
      <c r="H20" s="82"/>
      <c r="I20" s="82"/>
      <c r="J20" s="36"/>
      <c r="K20" s="84" t="s">
        <v>51</v>
      </c>
      <c r="L20" s="84"/>
      <c r="M20" s="84"/>
      <c r="N20" s="84"/>
      <c r="O20" s="84"/>
      <c r="P20" s="85">
        <v>0</v>
      </c>
      <c r="Q20" s="85"/>
      <c r="R20" s="99" t="s">
        <v>6</v>
      </c>
      <c r="S20" s="99"/>
      <c r="U20" s="36"/>
      <c r="V20" s="36"/>
      <c r="W20" s="36"/>
      <c r="X20" s="36"/>
      <c r="Y20" s="36"/>
      <c r="Z20" s="39"/>
      <c r="AA20" s="39"/>
      <c r="AB20" s="36"/>
      <c r="AC20" s="36"/>
      <c r="AD20" s="36"/>
      <c r="AE20" s="36"/>
    </row>
    <row r="21" spans="1:31" ht="13.5" customHeight="1" thickBot="1" x14ac:dyDescent="0.3">
      <c r="A21" s="36"/>
      <c r="B21" s="36" t="s">
        <v>108</v>
      </c>
      <c r="C21" s="36"/>
      <c r="D21" s="36"/>
      <c r="E21" s="36"/>
      <c r="F21" s="82">
        <f>P22</f>
        <v>0</v>
      </c>
      <c r="G21" s="82"/>
      <c r="H21" s="82"/>
      <c r="I21" s="82"/>
      <c r="J21" s="36"/>
      <c r="K21" s="58" t="s">
        <v>11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39"/>
      <c r="AA21" s="39"/>
      <c r="AB21" s="36"/>
      <c r="AC21" s="36"/>
      <c r="AD21" s="36"/>
      <c r="AE21" s="36"/>
    </row>
    <row r="22" spans="1:31" ht="13.5" customHeight="1" x14ac:dyDescent="0.25">
      <c r="A22" s="36"/>
      <c r="B22" s="59" t="s">
        <v>112</v>
      </c>
      <c r="C22" s="59"/>
      <c r="D22" s="59"/>
      <c r="E22" s="59"/>
      <c r="F22" s="92">
        <f>SUM(F19:I20)</f>
        <v>0</v>
      </c>
      <c r="G22" s="92"/>
      <c r="H22" s="92"/>
      <c r="I22" s="92"/>
      <c r="J22" s="31"/>
      <c r="K22" s="60" t="s">
        <v>113</v>
      </c>
      <c r="L22" s="60"/>
      <c r="M22" s="60"/>
      <c r="N22" s="60"/>
      <c r="O22" s="61"/>
      <c r="P22" s="100">
        <f>(P19+V19)*P20</f>
        <v>0</v>
      </c>
      <c r="Q22" s="100"/>
      <c r="R22" s="100"/>
      <c r="S22" s="35"/>
      <c r="T22" s="35"/>
      <c r="U22" s="62"/>
      <c r="V22" s="62"/>
      <c r="W22" s="62"/>
      <c r="X22" s="62"/>
      <c r="Y22" s="62"/>
      <c r="Z22" s="39"/>
      <c r="AA22" s="39"/>
      <c r="AB22" s="36"/>
      <c r="AC22" s="40"/>
      <c r="AD22" s="36"/>
      <c r="AE22" s="36"/>
    </row>
    <row r="23" spans="1:31" ht="13.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9"/>
      <c r="V23" s="39"/>
      <c r="W23" s="39"/>
      <c r="X23" s="39"/>
      <c r="Y23" s="39"/>
      <c r="Z23" s="39"/>
      <c r="AA23" s="39"/>
      <c r="AB23" s="36"/>
      <c r="AC23" s="36"/>
      <c r="AD23" s="36"/>
      <c r="AE23" s="36"/>
    </row>
    <row r="24" spans="1:31" ht="28.05" customHeight="1" thickBot="1" x14ac:dyDescent="0.3">
      <c r="A24" s="36"/>
      <c r="B24" s="63" t="s">
        <v>19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4"/>
      <c r="X24" s="63"/>
      <c r="Y24" s="63"/>
      <c r="Z24" s="63"/>
      <c r="AA24" s="63"/>
      <c r="AB24" s="36"/>
      <c r="AC24" s="36"/>
      <c r="AD24" s="36"/>
      <c r="AE24" s="36"/>
    </row>
    <row r="25" spans="1:31" ht="5.0999999999999996" customHeight="1" thickTop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8"/>
      <c r="X25" s="36"/>
      <c r="Y25" s="36"/>
      <c r="Z25" s="36"/>
      <c r="AA25" s="36"/>
      <c r="AB25" s="36"/>
      <c r="AC25" s="36"/>
      <c r="AD25" s="36"/>
      <c r="AE25" s="36"/>
    </row>
    <row r="26" spans="1:31" ht="15" customHeight="1" thickBot="1" x14ac:dyDescent="0.3">
      <c r="A26" s="36"/>
      <c r="B26" s="45" t="s">
        <v>20</v>
      </c>
      <c r="C26" s="45"/>
      <c r="D26" s="93" t="s">
        <v>21</v>
      </c>
      <c r="E26" s="93"/>
      <c r="F26" s="93"/>
      <c r="G26" s="93" t="s">
        <v>22</v>
      </c>
      <c r="H26" s="93"/>
      <c r="I26" s="93"/>
      <c r="J26" s="93"/>
      <c r="K26" s="93"/>
      <c r="L26" s="93"/>
      <c r="M26" s="93"/>
      <c r="N26" s="93" t="s">
        <v>23</v>
      </c>
      <c r="O26" s="93"/>
      <c r="P26" s="93" t="s">
        <v>24</v>
      </c>
      <c r="Q26" s="93"/>
      <c r="R26" s="93"/>
      <c r="S26" s="93" t="s">
        <v>25</v>
      </c>
      <c r="T26" s="93"/>
      <c r="U26" s="93"/>
      <c r="V26" s="93" t="s">
        <v>115</v>
      </c>
      <c r="W26" s="93"/>
      <c r="X26" s="93"/>
      <c r="Y26" s="93" t="s">
        <v>116</v>
      </c>
      <c r="Z26" s="93"/>
      <c r="AA26" s="93"/>
      <c r="AB26" s="36"/>
      <c r="AC26" s="36"/>
      <c r="AD26" s="36"/>
      <c r="AE26" s="36"/>
    </row>
    <row r="27" spans="1:31" ht="15" customHeight="1" x14ac:dyDescent="0.25">
      <c r="A27" s="36"/>
      <c r="B27" s="70" t="str">
        <f>IFERROR(VLOOKUP(G27,'Referencias'!$A$3:$E$39,4,FALSE),"")</f>
        <v/>
      </c>
      <c r="C27" s="70"/>
      <c r="D27" s="71" t="str">
        <f>IFERROR(VLOOKUP(G27,'Referencias'!$A$3:$E$38,5,FALSE),"")</f>
        <v/>
      </c>
      <c r="E27" s="71"/>
      <c r="F27" s="71"/>
      <c r="G27" s="72"/>
      <c r="H27" s="72"/>
      <c r="I27" s="72"/>
      <c r="J27" s="72"/>
      <c r="K27" s="72"/>
      <c r="L27" s="72"/>
      <c r="M27" s="72"/>
      <c r="N27" s="73"/>
      <c r="O27" s="73"/>
      <c r="P27" s="74" t="str">
        <f>IFERROR(VLOOKUP(G27,'Referencias'!$A$3:$E$39,2,FALSE),"")</f>
        <v/>
      </c>
      <c r="Q27" s="74"/>
      <c r="R27" s="74"/>
      <c r="S27" s="74" t="str">
        <f>IFERROR((N27*P27),"")</f>
        <v/>
      </c>
      <c r="T27" s="74"/>
      <c r="U27" s="74"/>
      <c r="V27" s="74" t="str">
        <f>IFERROR(VLOOKUP(G27,'Referencias'!$A$3:$E$39,3,FALSE),"")</f>
        <v/>
      </c>
      <c r="W27" s="74"/>
      <c r="X27" s="74"/>
      <c r="Y27" s="74" t="str">
        <f>IFERROR((N27*V27),"")</f>
        <v/>
      </c>
      <c r="Z27" s="74"/>
      <c r="AA27" s="74"/>
      <c r="AB27" s="36"/>
      <c r="AC27" s="36"/>
      <c r="AD27" s="36"/>
      <c r="AE27" s="36"/>
    </row>
    <row r="28" spans="1:31" ht="15" customHeight="1" x14ac:dyDescent="0.25">
      <c r="A28" s="36"/>
      <c r="B28" s="66" t="str">
        <f>IFERROR(VLOOKUP(G28,'Referencias'!$A$3:$E$39,4,FALSE),"")</f>
        <v/>
      </c>
      <c r="C28" s="66"/>
      <c r="D28" s="67" t="str">
        <f>IFERROR(VLOOKUP(G28,'Referencias'!$A$3:$E$38,5,FALSE),"")</f>
        <v/>
      </c>
      <c r="E28" s="67"/>
      <c r="F28" s="67"/>
      <c r="G28" s="68"/>
      <c r="H28" s="68"/>
      <c r="I28" s="68"/>
      <c r="J28" s="68"/>
      <c r="K28" s="68"/>
      <c r="L28" s="68"/>
      <c r="M28" s="68"/>
      <c r="N28" s="65"/>
      <c r="O28" s="65"/>
      <c r="P28" s="69" t="str">
        <f>IFERROR(VLOOKUP(G28,'Referencias'!$A$3:$E$39,2,FALSE),"")</f>
        <v/>
      </c>
      <c r="Q28" s="69"/>
      <c r="R28" s="69"/>
      <c r="S28" s="69" t="str">
        <f t="shared" ref="S28:S45" si="0">IFERROR((N28*P28),"")</f>
        <v/>
      </c>
      <c r="T28" s="69"/>
      <c r="U28" s="69"/>
      <c r="V28" s="69" t="str">
        <f>IFERROR(VLOOKUP(G28,'Referencias'!$A$3:$E$39,3,FALSE),"")</f>
        <v/>
      </c>
      <c r="W28" s="69"/>
      <c r="X28" s="69"/>
      <c r="Y28" s="69" t="str">
        <f t="shared" ref="Y28:Y45" si="1">IFERROR((N28*V28),"")</f>
        <v/>
      </c>
      <c r="Z28" s="69"/>
      <c r="AA28" s="69"/>
      <c r="AB28" s="36"/>
      <c r="AC28" s="36"/>
      <c r="AD28" s="36"/>
      <c r="AE28" s="36"/>
    </row>
    <row r="29" spans="1:31" ht="15" customHeight="1" x14ac:dyDescent="0.25">
      <c r="A29" s="36"/>
      <c r="B29" s="66" t="str">
        <f>IFERROR(VLOOKUP(G29,'Referencias'!$A$3:$E$39,4,FALSE),"")</f>
        <v/>
      </c>
      <c r="C29" s="66"/>
      <c r="D29" s="67" t="str">
        <f>IFERROR(VLOOKUP(G29,'Referencias'!$A$3:$E$38,5,FALSE),"")</f>
        <v/>
      </c>
      <c r="E29" s="67"/>
      <c r="F29" s="67"/>
      <c r="G29" s="68"/>
      <c r="H29" s="68"/>
      <c r="I29" s="68"/>
      <c r="J29" s="68"/>
      <c r="K29" s="68"/>
      <c r="L29" s="68"/>
      <c r="M29" s="68"/>
      <c r="N29" s="65"/>
      <c r="O29" s="65"/>
      <c r="P29" s="69" t="str">
        <f>IFERROR(VLOOKUP(G29,'Referencias'!$A$3:$E$39,2,FALSE),"")</f>
        <v/>
      </c>
      <c r="Q29" s="69"/>
      <c r="R29" s="69"/>
      <c r="S29" s="69" t="str">
        <f t="shared" si="0"/>
        <v/>
      </c>
      <c r="T29" s="69"/>
      <c r="U29" s="69"/>
      <c r="V29" s="69" t="str">
        <f>IFERROR(VLOOKUP(G29,'Referencias'!$A$3:$E$39,3,FALSE),"")</f>
        <v/>
      </c>
      <c r="W29" s="69"/>
      <c r="X29" s="69"/>
      <c r="Y29" s="69" t="str">
        <f t="shared" si="1"/>
        <v/>
      </c>
      <c r="Z29" s="69"/>
      <c r="AA29" s="69"/>
      <c r="AB29" s="36"/>
      <c r="AC29" s="36"/>
      <c r="AD29" s="36"/>
      <c r="AE29" s="36"/>
    </row>
    <row r="30" spans="1:31" ht="15" customHeight="1" x14ac:dyDescent="0.25">
      <c r="A30" s="36"/>
      <c r="B30" s="66" t="str">
        <f>IFERROR(VLOOKUP(G30,'Referencias'!$A$3:$E$39,4,FALSE),"")</f>
        <v/>
      </c>
      <c r="C30" s="66"/>
      <c r="D30" s="67" t="str">
        <f>IFERROR(VLOOKUP(G30,'Referencias'!$A$3:$E$38,5,FALSE),"")</f>
        <v/>
      </c>
      <c r="E30" s="67"/>
      <c r="F30" s="67"/>
      <c r="G30" s="68"/>
      <c r="H30" s="68"/>
      <c r="I30" s="68"/>
      <c r="J30" s="68"/>
      <c r="K30" s="68"/>
      <c r="L30" s="68"/>
      <c r="M30" s="68"/>
      <c r="N30" s="65"/>
      <c r="O30" s="65"/>
      <c r="P30" s="69" t="str">
        <f>IFERROR(VLOOKUP(G30,'Referencias'!$A$3:$E$39,2,FALSE),"")</f>
        <v/>
      </c>
      <c r="Q30" s="69"/>
      <c r="R30" s="69"/>
      <c r="S30" s="69" t="str">
        <f t="shared" si="0"/>
        <v/>
      </c>
      <c r="T30" s="69"/>
      <c r="U30" s="69"/>
      <c r="V30" s="69" t="str">
        <f>IFERROR(VLOOKUP(G30,'Referencias'!$A$3:$E$39,3,FALSE),"")</f>
        <v/>
      </c>
      <c r="W30" s="69"/>
      <c r="X30" s="69"/>
      <c r="Y30" s="69" t="str">
        <f t="shared" si="1"/>
        <v/>
      </c>
      <c r="Z30" s="69"/>
      <c r="AA30" s="69"/>
      <c r="AB30" s="36"/>
      <c r="AC30" s="36"/>
      <c r="AD30" s="36"/>
      <c r="AE30" s="36"/>
    </row>
    <row r="31" spans="1:31" ht="15" customHeight="1" x14ac:dyDescent="0.25">
      <c r="A31" s="36"/>
      <c r="B31" s="66" t="str">
        <f>IFERROR(VLOOKUP(G31,'Referencias'!$A$3:$E$39,4,FALSE),"")</f>
        <v/>
      </c>
      <c r="C31" s="66"/>
      <c r="D31" s="67" t="str">
        <f>IFERROR(VLOOKUP(G31,'Referencias'!$A$3:$E$38,5,FALSE),"")</f>
        <v/>
      </c>
      <c r="E31" s="67"/>
      <c r="F31" s="67"/>
      <c r="G31" s="68"/>
      <c r="H31" s="68"/>
      <c r="I31" s="68"/>
      <c r="J31" s="68"/>
      <c r="K31" s="68"/>
      <c r="L31" s="68"/>
      <c r="M31" s="68"/>
      <c r="N31" s="65"/>
      <c r="O31" s="65"/>
      <c r="P31" s="69" t="str">
        <f>IFERROR(VLOOKUP(G31,'Referencias'!$A$3:$E$39,2,FALSE),"")</f>
        <v/>
      </c>
      <c r="Q31" s="69"/>
      <c r="R31" s="69"/>
      <c r="S31" s="69" t="str">
        <f t="shared" si="0"/>
        <v/>
      </c>
      <c r="T31" s="69"/>
      <c r="U31" s="69"/>
      <c r="V31" s="69" t="str">
        <f>IFERROR(VLOOKUP(G31,'Referencias'!$A$3:$E$39,3,FALSE),"")</f>
        <v/>
      </c>
      <c r="W31" s="69"/>
      <c r="X31" s="69"/>
      <c r="Y31" s="69" t="str">
        <f t="shared" si="1"/>
        <v/>
      </c>
      <c r="Z31" s="69"/>
      <c r="AA31" s="69"/>
      <c r="AB31" s="36"/>
      <c r="AC31" s="36"/>
      <c r="AD31" s="36"/>
      <c r="AE31" s="36"/>
    </row>
    <row r="32" spans="1:31" ht="15" customHeight="1" x14ac:dyDescent="0.25">
      <c r="A32" s="36"/>
      <c r="B32" s="66" t="str">
        <f>IFERROR(VLOOKUP(G32,'Referencias'!$A$3:$E$39,4,FALSE),"")</f>
        <v/>
      </c>
      <c r="C32" s="66"/>
      <c r="D32" s="67" t="str">
        <f>IFERROR(VLOOKUP(G32,'Referencias'!$A$3:$E$38,5,FALSE),"")</f>
        <v/>
      </c>
      <c r="E32" s="67"/>
      <c r="F32" s="67"/>
      <c r="G32" s="68"/>
      <c r="H32" s="68"/>
      <c r="I32" s="68"/>
      <c r="J32" s="68"/>
      <c r="K32" s="68"/>
      <c r="L32" s="68"/>
      <c r="M32" s="68"/>
      <c r="N32" s="65"/>
      <c r="O32" s="65"/>
      <c r="P32" s="69" t="str">
        <f>IFERROR(VLOOKUP(G32,'Referencias'!$A$3:$E$39,2,FALSE),"")</f>
        <v/>
      </c>
      <c r="Q32" s="69"/>
      <c r="R32" s="69"/>
      <c r="S32" s="69" t="str">
        <f t="shared" ref="S32:S33" si="2">IFERROR((N32*P32),"")</f>
        <v/>
      </c>
      <c r="T32" s="69"/>
      <c r="U32" s="69"/>
      <c r="V32" s="69" t="str">
        <f>IFERROR(VLOOKUP(G32,'Referencias'!$A$3:$E$39,3,FALSE),"")</f>
        <v/>
      </c>
      <c r="W32" s="69"/>
      <c r="X32" s="69"/>
      <c r="Y32" s="69" t="str">
        <f t="shared" ref="Y32:Y33" si="3">IFERROR((N32*V32),"")</f>
        <v/>
      </c>
      <c r="Z32" s="69"/>
      <c r="AA32" s="69"/>
      <c r="AB32" s="36"/>
      <c r="AC32" s="36"/>
      <c r="AD32" s="36"/>
      <c r="AE32" s="36"/>
    </row>
    <row r="33" spans="1:31" ht="15" customHeight="1" x14ac:dyDescent="0.25">
      <c r="A33" s="36"/>
      <c r="B33" s="66" t="str">
        <f>IFERROR(VLOOKUP(G33,'Referencias'!$A$3:$E$39,4,FALSE),"")</f>
        <v/>
      </c>
      <c r="C33" s="66"/>
      <c r="D33" s="67" t="str">
        <f>IFERROR(VLOOKUP(G33,'Referencias'!$A$3:$E$38,5,FALSE),"")</f>
        <v/>
      </c>
      <c r="E33" s="67"/>
      <c r="F33" s="67"/>
      <c r="G33" s="68"/>
      <c r="H33" s="68"/>
      <c r="I33" s="68"/>
      <c r="J33" s="68"/>
      <c r="K33" s="68"/>
      <c r="L33" s="68"/>
      <c r="M33" s="68"/>
      <c r="N33" s="65"/>
      <c r="O33" s="65"/>
      <c r="P33" s="69" t="str">
        <f>IFERROR(VLOOKUP(G33,'Referencias'!$A$3:$E$39,2,FALSE),"")</f>
        <v/>
      </c>
      <c r="Q33" s="69"/>
      <c r="R33" s="69"/>
      <c r="S33" s="69" t="str">
        <f t="shared" si="2"/>
        <v/>
      </c>
      <c r="T33" s="69"/>
      <c r="U33" s="69"/>
      <c r="V33" s="69" t="str">
        <f>IFERROR(VLOOKUP(G33,'Referencias'!$A$3:$E$39,3,FALSE),"")</f>
        <v/>
      </c>
      <c r="W33" s="69"/>
      <c r="X33" s="69"/>
      <c r="Y33" s="69" t="str">
        <f t="shared" si="3"/>
        <v/>
      </c>
      <c r="Z33" s="69"/>
      <c r="AA33" s="69"/>
      <c r="AB33" s="36"/>
      <c r="AC33" s="36"/>
      <c r="AD33" s="36"/>
      <c r="AE33" s="36"/>
    </row>
    <row r="34" spans="1:31" ht="15" customHeight="1" x14ac:dyDescent="0.25">
      <c r="A34" s="36"/>
      <c r="B34" s="66" t="str">
        <f>IFERROR(VLOOKUP(G34,'Referencias'!$A$3:$E$39,4,FALSE),"")</f>
        <v/>
      </c>
      <c r="C34" s="66"/>
      <c r="D34" s="67" t="str">
        <f>IFERROR(VLOOKUP(G34,'Referencias'!$A$3:$E$38,5,FALSE),"")</f>
        <v/>
      </c>
      <c r="E34" s="67"/>
      <c r="F34" s="67"/>
      <c r="G34" s="68"/>
      <c r="H34" s="68"/>
      <c r="I34" s="68"/>
      <c r="J34" s="68"/>
      <c r="K34" s="68"/>
      <c r="L34" s="68"/>
      <c r="M34" s="68"/>
      <c r="N34" s="65"/>
      <c r="O34" s="65"/>
      <c r="P34" s="69" t="str">
        <f>IFERROR(VLOOKUP(G34,'Referencias'!$A$3:$E$39,2,FALSE),"")</f>
        <v/>
      </c>
      <c r="Q34" s="69"/>
      <c r="R34" s="69"/>
      <c r="S34" s="69" t="str">
        <f t="shared" si="0"/>
        <v/>
      </c>
      <c r="T34" s="69"/>
      <c r="U34" s="69"/>
      <c r="V34" s="69" t="str">
        <f>IFERROR(VLOOKUP(G34,'Referencias'!$A$3:$E$39,3,FALSE),"")</f>
        <v/>
      </c>
      <c r="W34" s="69"/>
      <c r="X34" s="69"/>
      <c r="Y34" s="69" t="str">
        <f t="shared" si="1"/>
        <v/>
      </c>
      <c r="Z34" s="69"/>
      <c r="AA34" s="69"/>
      <c r="AB34" s="36"/>
      <c r="AC34" s="36"/>
      <c r="AD34" s="36"/>
      <c r="AE34" s="36"/>
    </row>
    <row r="35" spans="1:31" ht="15" customHeight="1" x14ac:dyDescent="0.25">
      <c r="A35" s="36"/>
      <c r="B35" s="66" t="str">
        <f>IFERROR(VLOOKUP(G35,'Referencias'!$A$3:$E$39,4,FALSE),"")</f>
        <v/>
      </c>
      <c r="C35" s="66"/>
      <c r="D35" s="67" t="str">
        <f>IFERROR(VLOOKUP(G35,'Referencias'!$A$3:$E$38,5,FALSE),"")</f>
        <v/>
      </c>
      <c r="E35" s="67"/>
      <c r="F35" s="67"/>
      <c r="G35" s="68"/>
      <c r="H35" s="68"/>
      <c r="I35" s="68"/>
      <c r="J35" s="68"/>
      <c r="K35" s="68"/>
      <c r="L35" s="68"/>
      <c r="M35" s="68"/>
      <c r="N35" s="65"/>
      <c r="O35" s="65"/>
      <c r="P35" s="69" t="str">
        <f>IFERROR(VLOOKUP(G35,'Referencias'!$A$3:$E$39,2,FALSE),"")</f>
        <v/>
      </c>
      <c r="Q35" s="69"/>
      <c r="R35" s="69"/>
      <c r="S35" s="69" t="str">
        <f t="shared" si="0"/>
        <v/>
      </c>
      <c r="T35" s="69"/>
      <c r="U35" s="69"/>
      <c r="V35" s="69" t="str">
        <f>IFERROR(VLOOKUP(G35,'Referencias'!$A$3:$E$39,3,FALSE),"")</f>
        <v/>
      </c>
      <c r="W35" s="69"/>
      <c r="X35" s="69"/>
      <c r="Y35" s="69" t="str">
        <f t="shared" si="1"/>
        <v/>
      </c>
      <c r="Z35" s="69"/>
      <c r="AA35" s="69"/>
      <c r="AB35" s="36"/>
      <c r="AC35" s="36"/>
      <c r="AD35" s="36"/>
      <c r="AE35" s="36"/>
    </row>
    <row r="36" spans="1:31" ht="15" customHeight="1" x14ac:dyDescent="0.25">
      <c r="A36" s="36"/>
      <c r="B36" s="66" t="str">
        <f>IFERROR(VLOOKUP(G36,'Referencias'!$A$3:$E$39,4,FALSE),"")</f>
        <v/>
      </c>
      <c r="C36" s="66"/>
      <c r="D36" s="67" t="str">
        <f>IFERROR(VLOOKUP(G36,'Referencias'!$A$3:$E$38,5,FALSE),"")</f>
        <v/>
      </c>
      <c r="E36" s="67"/>
      <c r="F36" s="67"/>
      <c r="G36" s="68"/>
      <c r="H36" s="68"/>
      <c r="I36" s="68"/>
      <c r="J36" s="68"/>
      <c r="K36" s="68"/>
      <c r="L36" s="68"/>
      <c r="M36" s="68"/>
      <c r="N36" s="65"/>
      <c r="O36" s="65"/>
      <c r="P36" s="69" t="str">
        <f>IFERROR(VLOOKUP(G36,'Referencias'!$A$3:$E$39,2,FALSE),"")</f>
        <v/>
      </c>
      <c r="Q36" s="69"/>
      <c r="R36" s="69"/>
      <c r="S36" s="69" t="str">
        <f t="shared" si="0"/>
        <v/>
      </c>
      <c r="T36" s="69"/>
      <c r="U36" s="69"/>
      <c r="V36" s="69" t="str">
        <f>IFERROR(VLOOKUP(G36,'Referencias'!$A$3:$E$39,3,FALSE),"")</f>
        <v/>
      </c>
      <c r="W36" s="69"/>
      <c r="X36" s="69"/>
      <c r="Y36" s="69" t="str">
        <f t="shared" si="1"/>
        <v/>
      </c>
      <c r="Z36" s="69"/>
      <c r="AA36" s="69"/>
      <c r="AB36" s="36"/>
      <c r="AC36" s="36"/>
      <c r="AD36" s="36"/>
      <c r="AE36" s="36"/>
    </row>
    <row r="37" spans="1:31" ht="15" customHeight="1" x14ac:dyDescent="0.25">
      <c r="A37" s="36"/>
      <c r="B37" s="66" t="str">
        <f>IFERROR(VLOOKUP(G37,'Referencias'!$A$3:$E$39,4,FALSE),"")</f>
        <v/>
      </c>
      <c r="C37" s="66"/>
      <c r="D37" s="67" t="str">
        <f>IFERROR(VLOOKUP(G37,'Referencias'!$A$3:$E$38,5,FALSE),"")</f>
        <v/>
      </c>
      <c r="E37" s="67"/>
      <c r="F37" s="67"/>
      <c r="G37" s="68"/>
      <c r="H37" s="68"/>
      <c r="I37" s="68"/>
      <c r="J37" s="68"/>
      <c r="K37" s="68"/>
      <c r="L37" s="68"/>
      <c r="M37" s="68"/>
      <c r="N37" s="65"/>
      <c r="O37" s="65"/>
      <c r="P37" s="69" t="str">
        <f>IFERROR(VLOOKUP(G37,'Referencias'!$A$3:$E$39,2,FALSE),"")</f>
        <v/>
      </c>
      <c r="Q37" s="69"/>
      <c r="R37" s="69"/>
      <c r="S37" s="69" t="str">
        <f t="shared" si="0"/>
        <v/>
      </c>
      <c r="T37" s="69"/>
      <c r="U37" s="69"/>
      <c r="V37" s="69" t="str">
        <f>IFERROR(VLOOKUP(G37,'Referencias'!$A$3:$E$39,3,FALSE),"")</f>
        <v/>
      </c>
      <c r="W37" s="69"/>
      <c r="X37" s="69"/>
      <c r="Y37" s="69" t="str">
        <f t="shared" si="1"/>
        <v/>
      </c>
      <c r="Z37" s="69"/>
      <c r="AA37" s="69"/>
      <c r="AB37" s="36"/>
      <c r="AC37" s="36"/>
      <c r="AD37" s="36"/>
      <c r="AE37" s="36"/>
    </row>
    <row r="38" spans="1:31" ht="15" customHeight="1" x14ac:dyDescent="0.25">
      <c r="A38" s="36"/>
      <c r="B38" s="66" t="str">
        <f>IFERROR(VLOOKUP(G38,'Referencias'!$A$3:$E$39,4,FALSE),"")</f>
        <v/>
      </c>
      <c r="C38" s="66"/>
      <c r="D38" s="67" t="str">
        <f>IFERROR(VLOOKUP(G38,'Referencias'!$A$3:$E$38,5,FALSE),"")</f>
        <v/>
      </c>
      <c r="E38" s="67"/>
      <c r="F38" s="67"/>
      <c r="G38" s="68"/>
      <c r="H38" s="68"/>
      <c r="I38" s="68"/>
      <c r="J38" s="68"/>
      <c r="K38" s="68"/>
      <c r="L38" s="68"/>
      <c r="M38" s="68"/>
      <c r="N38" s="65"/>
      <c r="O38" s="65"/>
      <c r="P38" s="69" t="str">
        <f>IFERROR(VLOOKUP(G38,'Referencias'!$A$3:$E$39,2,FALSE),"")</f>
        <v/>
      </c>
      <c r="Q38" s="69"/>
      <c r="R38" s="69"/>
      <c r="S38" s="69" t="str">
        <f t="shared" si="0"/>
        <v/>
      </c>
      <c r="T38" s="69"/>
      <c r="U38" s="69"/>
      <c r="V38" s="69" t="str">
        <f>IFERROR(VLOOKUP(G38,'Referencias'!$A$3:$E$39,3,FALSE),"")</f>
        <v/>
      </c>
      <c r="W38" s="69"/>
      <c r="X38" s="69"/>
      <c r="Y38" s="69" t="str">
        <f t="shared" si="1"/>
        <v/>
      </c>
      <c r="Z38" s="69"/>
      <c r="AA38" s="69"/>
      <c r="AB38" s="36"/>
      <c r="AC38" s="36"/>
      <c r="AD38" s="36"/>
      <c r="AE38" s="36"/>
    </row>
    <row r="39" spans="1:31" ht="15" customHeight="1" x14ac:dyDescent="0.25">
      <c r="A39" s="36"/>
      <c r="B39" s="66" t="str">
        <f>IFERROR(VLOOKUP(G39,'Referencias'!$A$3:$E$39,4,FALSE),"")</f>
        <v/>
      </c>
      <c r="C39" s="66"/>
      <c r="D39" s="67" t="str">
        <f>IFERROR(VLOOKUP(G39,'Referencias'!$A$3:$E$38,5,FALSE),"")</f>
        <v/>
      </c>
      <c r="E39" s="67"/>
      <c r="F39" s="67"/>
      <c r="G39" s="68"/>
      <c r="H39" s="68"/>
      <c r="I39" s="68"/>
      <c r="J39" s="68"/>
      <c r="K39" s="68"/>
      <c r="L39" s="68"/>
      <c r="M39" s="68"/>
      <c r="N39" s="65"/>
      <c r="O39" s="65"/>
      <c r="P39" s="69" t="str">
        <f>IFERROR(VLOOKUP(G39,'Referencias'!$A$3:$E$39,2,FALSE),"")</f>
        <v/>
      </c>
      <c r="Q39" s="69"/>
      <c r="R39" s="69"/>
      <c r="S39" s="69" t="str">
        <f t="shared" si="0"/>
        <v/>
      </c>
      <c r="T39" s="69"/>
      <c r="U39" s="69"/>
      <c r="V39" s="69" t="str">
        <f>IFERROR(VLOOKUP(G39,'Referencias'!$A$3:$E$39,3,FALSE),"")</f>
        <v/>
      </c>
      <c r="W39" s="69"/>
      <c r="X39" s="69"/>
      <c r="Y39" s="69" t="str">
        <f t="shared" si="1"/>
        <v/>
      </c>
      <c r="Z39" s="69"/>
      <c r="AA39" s="69"/>
      <c r="AB39" s="36"/>
      <c r="AC39" s="36"/>
      <c r="AD39" s="36"/>
      <c r="AE39" s="36"/>
    </row>
    <row r="40" spans="1:31" ht="15" customHeight="1" x14ac:dyDescent="0.25">
      <c r="A40" s="36"/>
      <c r="B40" s="66" t="str">
        <f>IFERROR(VLOOKUP(G40,'Referencias'!$A$3:$E$39,4,FALSE),"")</f>
        <v/>
      </c>
      <c r="C40" s="66"/>
      <c r="D40" s="67" t="str">
        <f>IFERROR(VLOOKUP(G40,'Referencias'!$A$3:$E$38,5,FALSE),"")</f>
        <v/>
      </c>
      <c r="E40" s="67"/>
      <c r="F40" s="67"/>
      <c r="G40" s="68"/>
      <c r="H40" s="68"/>
      <c r="I40" s="68"/>
      <c r="J40" s="68"/>
      <c r="K40" s="68"/>
      <c r="L40" s="68"/>
      <c r="M40" s="68"/>
      <c r="N40" s="65"/>
      <c r="O40" s="65"/>
      <c r="P40" s="69" t="str">
        <f>IFERROR(VLOOKUP(G40,'Referencias'!$A$3:$E$39,2,FALSE),"")</f>
        <v/>
      </c>
      <c r="Q40" s="69"/>
      <c r="R40" s="69"/>
      <c r="S40" s="69" t="str">
        <f t="shared" si="0"/>
        <v/>
      </c>
      <c r="T40" s="69"/>
      <c r="U40" s="69"/>
      <c r="V40" s="69" t="str">
        <f>IFERROR(VLOOKUP(G40,'Referencias'!$A$3:$E$39,3,FALSE),"")</f>
        <v/>
      </c>
      <c r="W40" s="69"/>
      <c r="X40" s="69"/>
      <c r="Y40" s="69" t="str">
        <f t="shared" si="1"/>
        <v/>
      </c>
      <c r="Z40" s="69"/>
      <c r="AA40" s="69"/>
      <c r="AB40" s="36"/>
      <c r="AC40" s="36"/>
      <c r="AD40" s="36"/>
      <c r="AE40" s="36"/>
    </row>
    <row r="41" spans="1:31" ht="15" customHeight="1" x14ac:dyDescent="0.25">
      <c r="A41" s="36"/>
      <c r="B41" s="66" t="str">
        <f>IFERROR(VLOOKUP(G41,'Referencias'!$A$3:$E$39,4,FALSE),"")</f>
        <v/>
      </c>
      <c r="C41" s="66"/>
      <c r="D41" s="67" t="str">
        <f>IFERROR(VLOOKUP(G41,'Referencias'!$A$3:$E$38,5,FALSE),"")</f>
        <v/>
      </c>
      <c r="E41" s="67"/>
      <c r="F41" s="67"/>
      <c r="G41" s="68"/>
      <c r="H41" s="68"/>
      <c r="I41" s="68"/>
      <c r="J41" s="68"/>
      <c r="K41" s="68"/>
      <c r="L41" s="68"/>
      <c r="M41" s="68"/>
      <c r="N41" s="65"/>
      <c r="O41" s="65"/>
      <c r="P41" s="69" t="str">
        <f>IFERROR(VLOOKUP(G41,'Referencias'!$A$3:$E$39,2,FALSE),"")</f>
        <v/>
      </c>
      <c r="Q41" s="69"/>
      <c r="R41" s="69"/>
      <c r="S41" s="69" t="str">
        <f t="shared" si="0"/>
        <v/>
      </c>
      <c r="T41" s="69"/>
      <c r="U41" s="69"/>
      <c r="V41" s="69" t="str">
        <f>IFERROR(VLOOKUP(G41,'Referencias'!$A$3:$E$39,3,FALSE),"")</f>
        <v/>
      </c>
      <c r="W41" s="69"/>
      <c r="X41" s="69"/>
      <c r="Y41" s="69" t="str">
        <f t="shared" si="1"/>
        <v/>
      </c>
      <c r="Z41" s="69"/>
      <c r="AA41" s="69"/>
      <c r="AB41" s="36"/>
      <c r="AC41" s="36"/>
      <c r="AD41" s="36"/>
      <c r="AE41" s="36"/>
    </row>
    <row r="42" spans="1:31" ht="15" customHeight="1" x14ac:dyDescent="0.25">
      <c r="A42" s="36"/>
      <c r="B42" s="66" t="str">
        <f>IFERROR(VLOOKUP(G42,'Referencias'!$A$3:$E$39,4,FALSE),"")</f>
        <v/>
      </c>
      <c r="C42" s="66"/>
      <c r="D42" s="67" t="str">
        <f>IFERROR(VLOOKUP(G42,'Referencias'!$A$3:$E$38,5,FALSE),"")</f>
        <v/>
      </c>
      <c r="E42" s="67"/>
      <c r="F42" s="67"/>
      <c r="G42" s="68"/>
      <c r="H42" s="68"/>
      <c r="I42" s="68"/>
      <c r="J42" s="68"/>
      <c r="K42" s="68"/>
      <c r="L42" s="68"/>
      <c r="M42" s="68"/>
      <c r="N42" s="65"/>
      <c r="O42" s="65"/>
      <c r="P42" s="69" t="str">
        <f>IFERROR(VLOOKUP(G42,'Referencias'!$A$3:$E$39,2,FALSE),"")</f>
        <v/>
      </c>
      <c r="Q42" s="69"/>
      <c r="R42" s="69"/>
      <c r="S42" s="69" t="str">
        <f t="shared" si="0"/>
        <v/>
      </c>
      <c r="T42" s="69"/>
      <c r="U42" s="69"/>
      <c r="V42" s="69" t="str">
        <f>IFERROR(VLOOKUP(G42,'Referencias'!$A$3:$E$39,3,FALSE),"")</f>
        <v/>
      </c>
      <c r="W42" s="69"/>
      <c r="X42" s="69"/>
      <c r="Y42" s="69" t="str">
        <f t="shared" si="1"/>
        <v/>
      </c>
      <c r="Z42" s="69"/>
      <c r="AA42" s="69"/>
      <c r="AB42" s="36"/>
      <c r="AC42" s="36"/>
      <c r="AD42" s="36"/>
      <c r="AE42" s="36"/>
    </row>
    <row r="43" spans="1:31" ht="15" customHeight="1" x14ac:dyDescent="0.25">
      <c r="A43" s="36"/>
      <c r="B43" s="66" t="str">
        <f>IFERROR(VLOOKUP(G43,'Referencias'!$A$3:$E$39,4,FALSE),"")</f>
        <v/>
      </c>
      <c r="C43" s="66"/>
      <c r="D43" s="67" t="str">
        <f>IFERROR(VLOOKUP(G43,'Referencias'!$A$3:$E$38,5,FALSE),"")</f>
        <v/>
      </c>
      <c r="E43" s="67"/>
      <c r="F43" s="67"/>
      <c r="G43" s="68"/>
      <c r="H43" s="68"/>
      <c r="I43" s="68"/>
      <c r="J43" s="68"/>
      <c r="K43" s="68"/>
      <c r="L43" s="68"/>
      <c r="M43" s="68"/>
      <c r="N43" s="65"/>
      <c r="O43" s="65"/>
      <c r="P43" s="69" t="str">
        <f>IFERROR(VLOOKUP(G43,'Referencias'!$A$3:$E$39,2,FALSE),"")</f>
        <v/>
      </c>
      <c r="Q43" s="69"/>
      <c r="R43" s="69"/>
      <c r="S43" s="69" t="str">
        <f t="shared" si="0"/>
        <v/>
      </c>
      <c r="T43" s="69"/>
      <c r="U43" s="69"/>
      <c r="V43" s="69" t="str">
        <f>IFERROR(VLOOKUP(G43,'Referencias'!$A$3:$E$39,3,FALSE),"")</f>
        <v/>
      </c>
      <c r="W43" s="69"/>
      <c r="X43" s="69"/>
      <c r="Y43" s="69" t="str">
        <f t="shared" si="1"/>
        <v/>
      </c>
      <c r="Z43" s="69"/>
      <c r="AA43" s="69"/>
      <c r="AB43" s="36"/>
      <c r="AC43" s="36"/>
      <c r="AD43" s="36"/>
      <c r="AE43" s="36"/>
    </row>
    <row r="44" spans="1:31" ht="15" customHeight="1" x14ac:dyDescent="0.25">
      <c r="A44" s="36"/>
      <c r="B44" s="66" t="str">
        <f>IFERROR(VLOOKUP(G44,'Referencias'!$A$3:$E$39,4,FALSE),"")</f>
        <v/>
      </c>
      <c r="C44" s="66"/>
      <c r="D44" s="67" t="str">
        <f>IFERROR(VLOOKUP(G44,'Referencias'!$A$3:$E$38,5,FALSE),"")</f>
        <v/>
      </c>
      <c r="E44" s="67"/>
      <c r="F44" s="67"/>
      <c r="G44" s="68"/>
      <c r="H44" s="68"/>
      <c r="I44" s="68"/>
      <c r="J44" s="68"/>
      <c r="K44" s="68"/>
      <c r="L44" s="68"/>
      <c r="M44" s="68"/>
      <c r="N44" s="65"/>
      <c r="O44" s="65"/>
      <c r="P44" s="69" t="str">
        <f>IFERROR(VLOOKUP(G44,'Referencias'!$A$3:$E$39,2,FALSE),"")</f>
        <v/>
      </c>
      <c r="Q44" s="69"/>
      <c r="R44" s="69"/>
      <c r="S44" s="69" t="str">
        <f t="shared" si="0"/>
        <v/>
      </c>
      <c r="T44" s="69"/>
      <c r="U44" s="69"/>
      <c r="V44" s="69" t="str">
        <f>IFERROR(VLOOKUP(G44,'Referencias'!$A$3:$E$39,3,FALSE),"")</f>
        <v/>
      </c>
      <c r="W44" s="69"/>
      <c r="X44" s="69"/>
      <c r="Y44" s="69" t="str">
        <f t="shared" si="1"/>
        <v/>
      </c>
      <c r="Z44" s="69"/>
      <c r="AA44" s="69"/>
      <c r="AB44" s="36"/>
      <c r="AC44" s="36"/>
      <c r="AD44" s="36"/>
      <c r="AE44" s="36"/>
    </row>
    <row r="45" spans="1:31" ht="15" customHeight="1" x14ac:dyDescent="0.25">
      <c r="A45" s="36"/>
      <c r="B45" s="66" t="str">
        <f>IFERROR(VLOOKUP(G45,'Referencias'!$A$3:$E$39,4,FALSE),"")</f>
        <v/>
      </c>
      <c r="C45" s="66"/>
      <c r="D45" s="67" t="str">
        <f>IFERROR(VLOOKUP(G45,'Referencias'!$A$3:$E$38,5,FALSE),"")</f>
        <v/>
      </c>
      <c r="E45" s="67"/>
      <c r="F45" s="67"/>
      <c r="G45" s="68"/>
      <c r="H45" s="68"/>
      <c r="I45" s="68"/>
      <c r="J45" s="68"/>
      <c r="K45" s="68"/>
      <c r="L45" s="68"/>
      <c r="M45" s="68"/>
      <c r="N45" s="65"/>
      <c r="O45" s="65"/>
      <c r="P45" s="69" t="str">
        <f>IFERROR(VLOOKUP(G45,'Referencias'!$A$3:$E$39,2,FALSE),"")</f>
        <v/>
      </c>
      <c r="Q45" s="69"/>
      <c r="R45" s="69"/>
      <c r="S45" s="69" t="str">
        <f t="shared" si="0"/>
        <v/>
      </c>
      <c r="T45" s="69"/>
      <c r="U45" s="69"/>
      <c r="V45" s="69" t="str">
        <f>IFERROR(VLOOKUP(G45,'Referencias'!$A$3:$E$39,3,FALSE),"")</f>
        <v/>
      </c>
      <c r="W45" s="69"/>
      <c r="X45" s="69"/>
      <c r="Y45" s="69" t="str">
        <f t="shared" si="1"/>
        <v/>
      </c>
      <c r="Z45" s="69"/>
      <c r="AA45" s="69"/>
      <c r="AB45" s="36"/>
      <c r="AC45" s="36"/>
      <c r="AD45" s="36"/>
      <c r="AE45" s="36"/>
    </row>
    <row r="46" spans="1:31" ht="15" customHeight="1" thickBot="1" x14ac:dyDescent="0.3">
      <c r="A46" s="36"/>
      <c r="B46" s="86"/>
      <c r="C46" s="86"/>
      <c r="D46" s="87"/>
      <c r="E46" s="87"/>
      <c r="F46" s="87"/>
      <c r="G46" s="88"/>
      <c r="H46" s="88"/>
      <c r="I46" s="88"/>
      <c r="J46" s="88"/>
      <c r="K46" s="88"/>
      <c r="L46" s="88"/>
      <c r="M46" s="88"/>
      <c r="N46" s="89"/>
      <c r="O46" s="89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36"/>
      <c r="AC46" s="36"/>
      <c r="AD46" s="36"/>
      <c r="AE46" s="36"/>
    </row>
    <row r="47" spans="1:31" ht="13.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8"/>
      <c r="X47" s="36"/>
      <c r="Y47" s="36"/>
      <c r="Z47" s="36"/>
      <c r="AA47" s="36"/>
      <c r="AB47" s="36"/>
      <c r="AC47" s="36"/>
      <c r="AD47" s="36"/>
      <c r="AE47" s="36"/>
    </row>
  </sheetData>
  <sheetProtection sheet="1" objects="1" scenarios="1" selectLockedCells="1"/>
  <mergeCells count="214">
    <mergeCell ref="B2:AA2"/>
    <mergeCell ref="W11:Z11"/>
    <mergeCell ref="W12:Z12"/>
    <mergeCell ref="W13:Z13"/>
    <mergeCell ref="W14:Z14"/>
    <mergeCell ref="W15:Z15"/>
    <mergeCell ref="W10:Z10"/>
    <mergeCell ref="T11:U11"/>
    <mergeCell ref="T12:U12"/>
    <mergeCell ref="T13:U13"/>
    <mergeCell ref="T14:U14"/>
    <mergeCell ref="T15:U15"/>
    <mergeCell ref="C11:E15"/>
    <mergeCell ref="Q11:S15"/>
    <mergeCell ref="B3:E3"/>
    <mergeCell ref="F3:I3"/>
    <mergeCell ref="K3:N3"/>
    <mergeCell ref="O3:R3"/>
    <mergeCell ref="T3:W3"/>
    <mergeCell ref="X3:AA3"/>
    <mergeCell ref="F12:I12"/>
    <mergeCell ref="B5:E5"/>
    <mergeCell ref="F5:N5"/>
    <mergeCell ref="O5:R5"/>
    <mergeCell ref="D26:F26"/>
    <mergeCell ref="G26:M26"/>
    <mergeCell ref="N26:O26"/>
    <mergeCell ref="P26:R26"/>
    <mergeCell ref="S26:U26"/>
    <mergeCell ref="V26:X26"/>
    <mergeCell ref="Y26:AA26"/>
    <mergeCell ref="F15:I15"/>
    <mergeCell ref="W16:Z16"/>
    <mergeCell ref="T16:U16"/>
    <mergeCell ref="P19:S19"/>
    <mergeCell ref="V19:X19"/>
    <mergeCell ref="R20:S20"/>
    <mergeCell ref="P22:R22"/>
    <mergeCell ref="G41:M41"/>
    <mergeCell ref="N41:O41"/>
    <mergeCell ref="P41:R41"/>
    <mergeCell ref="S41:U41"/>
    <mergeCell ref="V41:X41"/>
    <mergeCell ref="Y41:AA41"/>
    <mergeCell ref="N40:O40"/>
    <mergeCell ref="Y46:AA46"/>
    <mergeCell ref="B44:C44"/>
    <mergeCell ref="D44:F44"/>
    <mergeCell ref="G44:M44"/>
    <mergeCell ref="N44:O44"/>
    <mergeCell ref="P44:R44"/>
    <mergeCell ref="S44:U44"/>
    <mergeCell ref="V44:X44"/>
    <mergeCell ref="Y44:AA44"/>
    <mergeCell ref="B45:C45"/>
    <mergeCell ref="D45:F45"/>
    <mergeCell ref="G45:M45"/>
    <mergeCell ref="N45:O45"/>
    <mergeCell ref="P45:R45"/>
    <mergeCell ref="S45:U45"/>
    <mergeCell ref="V45:X45"/>
    <mergeCell ref="Y45:AA45"/>
    <mergeCell ref="B46:C46"/>
    <mergeCell ref="D46:F46"/>
    <mergeCell ref="G46:M46"/>
    <mergeCell ref="N46:O46"/>
    <mergeCell ref="P46:R46"/>
    <mergeCell ref="S46:U46"/>
    <mergeCell ref="V46:X46"/>
    <mergeCell ref="F13:I13"/>
    <mergeCell ref="F14:I14"/>
    <mergeCell ref="B41:C41"/>
    <mergeCell ref="D41:F41"/>
    <mergeCell ref="F22:I22"/>
    <mergeCell ref="B28:C28"/>
    <mergeCell ref="D28:F28"/>
    <mergeCell ref="G28:M28"/>
    <mergeCell ref="N28:O28"/>
    <mergeCell ref="P28:R28"/>
    <mergeCell ref="S28:U28"/>
    <mergeCell ref="V28:X28"/>
    <mergeCell ref="B30:C30"/>
    <mergeCell ref="D30:F30"/>
    <mergeCell ref="G30:M30"/>
    <mergeCell ref="N30:O30"/>
    <mergeCell ref="P30:R30"/>
    <mergeCell ref="Y42:AA42"/>
    <mergeCell ref="B43:C43"/>
    <mergeCell ref="D43:F43"/>
    <mergeCell ref="G43:M43"/>
    <mergeCell ref="N43:O43"/>
    <mergeCell ref="P43:R43"/>
    <mergeCell ref="S43:U43"/>
    <mergeCell ref="V43:X43"/>
    <mergeCell ref="Y43:AA43"/>
    <mergeCell ref="B42:C42"/>
    <mergeCell ref="D42:F42"/>
    <mergeCell ref="G42:M42"/>
    <mergeCell ref="N42:O42"/>
    <mergeCell ref="P42:R42"/>
    <mergeCell ref="S42:U42"/>
    <mergeCell ref="V42:X42"/>
    <mergeCell ref="B7:E7"/>
    <mergeCell ref="F7:AA7"/>
    <mergeCell ref="F10:I10"/>
    <mergeCell ref="F11:I11"/>
    <mergeCell ref="F19:I19"/>
    <mergeCell ref="F16:I16"/>
    <mergeCell ref="K16:N16"/>
    <mergeCell ref="F20:I20"/>
    <mergeCell ref="F21:I21"/>
    <mergeCell ref="V18:Y18"/>
    <mergeCell ref="P18:T18"/>
    <mergeCell ref="K20:O20"/>
    <mergeCell ref="P20:Q20"/>
    <mergeCell ref="Y28:AA28"/>
    <mergeCell ref="B27:C27"/>
    <mergeCell ref="D27:F27"/>
    <mergeCell ref="G27:M27"/>
    <mergeCell ref="N27:O27"/>
    <mergeCell ref="P27:R27"/>
    <mergeCell ref="S27:U27"/>
    <mergeCell ref="V27:X27"/>
    <mergeCell ref="Y27:AA27"/>
    <mergeCell ref="S30:U30"/>
    <mergeCell ref="V30:X30"/>
    <mergeCell ref="Y30:AA30"/>
    <mergeCell ref="B29:C29"/>
    <mergeCell ref="D29:F29"/>
    <mergeCell ref="G29:M29"/>
    <mergeCell ref="N29:O29"/>
    <mergeCell ref="P29:R29"/>
    <mergeCell ref="S29:U29"/>
    <mergeCell ref="Y29:AA29"/>
    <mergeCell ref="G32:M32"/>
    <mergeCell ref="N32:O32"/>
    <mergeCell ref="B31:C31"/>
    <mergeCell ref="D31:F31"/>
    <mergeCell ref="G31:M31"/>
    <mergeCell ref="N31:O31"/>
    <mergeCell ref="P31:R31"/>
    <mergeCell ref="S31:U31"/>
    <mergeCell ref="Y32:AA32"/>
    <mergeCell ref="B32:C32"/>
    <mergeCell ref="D32:F32"/>
    <mergeCell ref="P32:R32"/>
    <mergeCell ref="S32:U32"/>
    <mergeCell ref="Y31:AA31"/>
    <mergeCell ref="P35:R35"/>
    <mergeCell ref="S35:U35"/>
    <mergeCell ref="V35:X35"/>
    <mergeCell ref="Y35:AA35"/>
    <mergeCell ref="B34:C34"/>
    <mergeCell ref="D34:F34"/>
    <mergeCell ref="N34:O34"/>
    <mergeCell ref="P34:R34"/>
    <mergeCell ref="S34:U34"/>
    <mergeCell ref="Y33:AA33"/>
    <mergeCell ref="G34:M34"/>
    <mergeCell ref="B33:C33"/>
    <mergeCell ref="D33:F33"/>
    <mergeCell ref="G33:M33"/>
    <mergeCell ref="N33:O33"/>
    <mergeCell ref="P33:R33"/>
    <mergeCell ref="S33:U33"/>
    <mergeCell ref="Y34:AA34"/>
    <mergeCell ref="B40:C40"/>
    <mergeCell ref="D40:F40"/>
    <mergeCell ref="G40:M40"/>
    <mergeCell ref="P39:R39"/>
    <mergeCell ref="S39:U39"/>
    <mergeCell ref="Y39:AA39"/>
    <mergeCell ref="P40:R40"/>
    <mergeCell ref="V34:X34"/>
    <mergeCell ref="V32:X32"/>
    <mergeCell ref="V39:X39"/>
    <mergeCell ref="P38:R38"/>
    <mergeCell ref="S38:U38"/>
    <mergeCell ref="V38:X38"/>
    <mergeCell ref="Y38:AA38"/>
    <mergeCell ref="Y36:AA36"/>
    <mergeCell ref="Y37:AA37"/>
    <mergeCell ref="S40:U40"/>
    <mergeCell ref="V40:X40"/>
    <mergeCell ref="Y40:AA40"/>
    <mergeCell ref="B37:C37"/>
    <mergeCell ref="D37:F37"/>
    <mergeCell ref="G37:M37"/>
    <mergeCell ref="N37:O37"/>
    <mergeCell ref="P37:R37"/>
    <mergeCell ref="N39:O39"/>
    <mergeCell ref="B38:C38"/>
    <mergeCell ref="D38:F38"/>
    <mergeCell ref="G38:M38"/>
    <mergeCell ref="B39:C39"/>
    <mergeCell ref="D39:F39"/>
    <mergeCell ref="G39:M39"/>
    <mergeCell ref="V31:X31"/>
    <mergeCell ref="V29:X29"/>
    <mergeCell ref="S37:U37"/>
    <mergeCell ref="V37:X37"/>
    <mergeCell ref="N38:O38"/>
    <mergeCell ref="B36:C36"/>
    <mergeCell ref="D36:F36"/>
    <mergeCell ref="G36:M36"/>
    <mergeCell ref="N36:O36"/>
    <mergeCell ref="P36:R36"/>
    <mergeCell ref="S36:U36"/>
    <mergeCell ref="V36:X36"/>
    <mergeCell ref="G35:M35"/>
    <mergeCell ref="V33:X33"/>
    <mergeCell ref="B35:C35"/>
    <mergeCell ref="D35:F35"/>
    <mergeCell ref="N35:O35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verticalDpi="90" r:id="rId1"/>
  <headerFooter>
    <oddFooter>&amp;L&amp;"Century Gothic,Negrita"&amp;8&amp;KC00000Document Solutions&amp;"Century Gothic,Normal"
Consulting and Design Specialists&amp;C&amp;"Century Gothic,Normal"&amp;8&amp;KC00000&amp;F&amp;R&amp;"Century Gothic,Normal"&amp;8&amp;KC00000&amp;D</oddFooter>
  </headerFooter>
  <ignoredErrors>
    <ignoredError sqref="C27 S27:U27 E27:F27 W27:AA27 W11:Z14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2DCF4C9-5EE9-48B1-9CE4-4BD7E1B81861}">
          <x14:formula1>
            <xm:f>'Referencias'!$A$3:$A$39</xm:f>
          </x14:formula1>
          <xm:sqref>G28:M46</xm:sqref>
        </x14:dataValidation>
        <x14:dataValidation type="list" allowBlank="1" showInputMessage="1" showErrorMessage="1" xr:uid="{1EE5DF18-BD1A-420C-B3D7-283A8EE34B16}">
          <x14:formula1>
            <xm:f>'Referencias'!$A$3:$A$38</xm:f>
          </x14:formula1>
          <xm:sqref>G27:M27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dde61c-ac18-46da-a045-91ea4c0c29e3" xsi:nil="true"/>
    <lcf76f155ced4ddcb4097134ff3c332f xmlns="150117c0-3010-4cbb-b828-d8de2aceca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9EBDD195175D40AEC4BBA35344B177" ma:contentTypeVersion="15" ma:contentTypeDescription="Crear nuevo documento." ma:contentTypeScope="" ma:versionID="279aec266d6bc89d9daad3409afd111d">
  <xsd:schema xmlns:xsd="http://www.w3.org/2001/XMLSchema" xmlns:xs="http://www.w3.org/2001/XMLSchema" xmlns:p="http://schemas.microsoft.com/office/2006/metadata/properties" xmlns:ns2="150117c0-3010-4cbb-b828-d8de2acecafb" xmlns:ns3="08dde61c-ac18-46da-a045-91ea4c0c29e3" targetNamespace="http://schemas.microsoft.com/office/2006/metadata/properties" ma:root="true" ma:fieldsID="bb52878013a131d66baec0cf8e751394" ns2:_="" ns3:_="">
    <xsd:import namespace="150117c0-3010-4cbb-b828-d8de2acecafb"/>
    <xsd:import namespace="08dde61c-ac18-46da-a045-91ea4c0c29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117c0-3010-4cbb-b828-d8de2acec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b1c8b08-49f9-4132-9cfe-693e3dd41c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de61c-ac18-46da-a045-91ea4c0c29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0569187-f48c-417f-953f-037940131782}" ma:internalName="TaxCatchAll" ma:showField="CatchAllData" ma:web="08dde61c-ac18-46da-a045-91ea4c0c29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B50B97-3FEE-4983-A1D0-126F647EED2C}">
  <ds:schemaRefs>
    <ds:schemaRef ds:uri="http://www.w3.org/XML/1998/namespace"/>
    <ds:schemaRef ds:uri="http://schemas.microsoft.com/office/infopath/2007/PartnerControls"/>
    <ds:schemaRef ds:uri="http://purl.org/dc/elements/1.1/"/>
    <ds:schemaRef ds:uri="aae4bf8a-8c8c-43ff-806f-9aeb51a1c4ff"/>
    <ds:schemaRef ds:uri="http://purl.org/dc/terms/"/>
    <ds:schemaRef ds:uri="http://schemas.microsoft.com/office/2006/documentManagement/types"/>
    <ds:schemaRef ds:uri="http://purl.org/dc/dcmitype/"/>
    <ds:schemaRef ds:uri="780b3fa5-fefe-4487-bd7b-6af0595a8bf8"/>
    <ds:schemaRef ds:uri="http://schemas.openxmlformats.org/package/2006/metadata/core-properties"/>
    <ds:schemaRef ds:uri="c60f5de7-8706-45f7-9b8d-13fed654b923"/>
    <ds:schemaRef ds:uri="http://schemas.microsoft.com/office/2006/metadata/properties"/>
    <ds:schemaRef ds:uri="08dde61c-ac18-46da-a045-91ea4c0c29e3"/>
    <ds:schemaRef ds:uri="150117c0-3010-4cbb-b828-d8de2acecafb"/>
  </ds:schemaRefs>
</ds:datastoreItem>
</file>

<file path=customXml/itemProps2.xml><?xml version="1.0" encoding="utf-8"?>
<ds:datastoreItem xmlns:ds="http://schemas.openxmlformats.org/officeDocument/2006/customXml" ds:itemID="{8316FDA2-B0E2-4D17-BC11-CC2CA6DFD1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5495A8-9BEB-43FA-BAFB-07CED48F2BD1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D509B5DA-6346-47F3-8EA4-08634852A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Referencias</vt:lpstr>
      <vt:lpstr>Valoración IM</vt:lpstr>
      <vt:lpstr>'Valoración IM'!Área_de_impresión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Juan Bestard Llado</dc:creator>
  <cp:keywords/>
  <dc:description/>
  <cp:lastModifiedBy>Antonio Juan Bestard Llado</cp:lastModifiedBy>
  <cp:revision/>
  <cp:lastPrinted>2025-10-13T09:08:30Z</cp:lastPrinted>
  <dcterms:created xsi:type="dcterms:W3CDTF">2018-02-15T08:15:06Z</dcterms:created>
  <dcterms:modified xsi:type="dcterms:W3CDTF">2026-10-21T15:10:42Z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0x010100999EBDD195175D40AEC4BBA35344B177</vt:lpwstr>
  </property>
  <property fmtid="{D5CDD505-2E9C-101B-9397-08002B2CF9AE}" pid="3" name="AuthorIds_UIVersion_1024">
    <vt:lpwstr>9</vt:lpwstr>
  </property>
  <property fmtid="{D5CDD505-2E9C-101B-9397-08002B2CF9AE}" pid="4" name="MSIP_Label_f5dc6714-9f23-4030-b547-8c94b19e0b7a_Enabled">
    <vt:lpwstr>true</vt:lpwstr>
  </property>
  <property fmtid="{D5CDD505-2E9C-101B-9397-08002B2CF9AE}" pid="5" name="MSIP_Label_f5dc6714-9f23-4030-b547-8c94b19e0b7a_SetDate">
    <vt:lpwstr>2022-01-18T08:02:57Z</vt:lpwstr>
  </property>
  <property fmtid="{D5CDD505-2E9C-101B-9397-08002B2CF9AE}" pid="6" name="MSIP_Label_f5dc6714-9f23-4030-b547-8c94b19e0b7a_Method">
    <vt:lpwstr>Standard</vt:lpwstr>
  </property>
  <property fmtid="{D5CDD505-2E9C-101B-9397-08002B2CF9AE}" pid="7" name="MSIP_Label_f5dc6714-9f23-4030-b547-8c94b19e0b7a_Name">
    <vt:lpwstr>Internal Information (R3)</vt:lpwstr>
  </property>
  <property fmtid="{D5CDD505-2E9C-101B-9397-08002B2CF9AE}" pid="8" name="MSIP_Label_f5dc6714-9f23-4030-b547-8c94b19e0b7a_SiteId">
    <vt:lpwstr>acbd4e6b-e845-4677-853c-a8d24faf3655</vt:lpwstr>
  </property>
  <property fmtid="{D5CDD505-2E9C-101B-9397-08002B2CF9AE}" pid="9" name="MSIP_Label_f5dc6714-9f23-4030-b547-8c94b19e0b7a_ActionId">
    <vt:lpwstr>3910e843-8273-44f8-a8b7-4c4cbf4bace2</vt:lpwstr>
  </property>
  <property fmtid="{D5CDD505-2E9C-101B-9397-08002B2CF9AE}" pid="10" name="MSIP_Label_f5dc6714-9f23-4030-b547-8c94b19e0b7a_ContentBits">
    <vt:lpwstr>0</vt:lpwstr>
  </property>
  <property fmtid="{D5CDD505-2E9C-101B-9397-08002B2CF9AE}" pid="11" name="MediaServiceImageTags">
    <vt:lpwstr/>
  </property>
</Properties>
</file>